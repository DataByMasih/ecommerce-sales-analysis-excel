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cc\Downloads\"/>
    </mc:Choice>
  </mc:AlternateContent>
  <xr:revisionPtr revIDLastSave="0" documentId="13_ncr:1_{66683221-CE0D-4001-8FF3-0E7C9FFCF8C1}" xr6:coauthVersionLast="47" xr6:coauthVersionMax="47" xr10:uidLastSave="{00000000-0000-0000-0000-000000000000}"/>
  <bookViews>
    <workbookView xWindow="-110" yWindow="-110" windowWidth="19420" windowHeight="10300" firstSheet="3" activeTab="5" xr2:uid="{00000000-000D-0000-FFFF-FFFF00000000}"/>
  </bookViews>
  <sheets>
    <sheet name="Monthly Sales" sheetId="2" r:id="rId1"/>
    <sheet name="Region Wise Sales" sheetId="6" r:id="rId2"/>
    <sheet name="DASHBOARD" sheetId="3" r:id="rId3"/>
    <sheet name="TOP 3 PRODUCT" sheetId="7" r:id="rId4"/>
    <sheet name="Category Wise Sale" sheetId="9" r:id="rId5"/>
    <sheet name="RAW DATA" sheetId="1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M3" i="1"/>
  <c r="AB9" i="2"/>
  <c r="AB8" i="2"/>
  <c r="AB7" i="2"/>
  <c r="AB6" i="2"/>
</calcChain>
</file>

<file path=xl/sharedStrings.xml><?xml version="1.0" encoding="utf-8"?>
<sst xmlns="http://schemas.openxmlformats.org/spreadsheetml/2006/main" count="2562" uniqueCount="712">
  <si>
    <t>Order ID</t>
  </si>
  <si>
    <t>Date</t>
  </si>
  <si>
    <t>Region</t>
  </si>
  <si>
    <t>Category</t>
  </si>
  <si>
    <t>Product</t>
  </si>
  <si>
    <t>Customer</t>
  </si>
  <si>
    <t>Sales</t>
  </si>
  <si>
    <t>Quantity</t>
  </si>
  <si>
    <t>Profit</t>
  </si>
  <si>
    <t>Discount</t>
  </si>
  <si>
    <t>ORD-0001</t>
  </si>
  <si>
    <t>ORD-0002</t>
  </si>
  <si>
    <t>ORD-0003</t>
  </si>
  <si>
    <t>ORD-0004</t>
  </si>
  <si>
    <t>ORD-0005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</si>
  <si>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</si>
  <si>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</si>
  <si>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</si>
  <si>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</si>
  <si>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</si>
  <si>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</si>
  <si>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</si>
  <si>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</si>
  <si>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</si>
  <si>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</si>
  <si>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</si>
  <si>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</si>
  <si>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</si>
  <si>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</si>
  <si>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</si>
  <si>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</si>
  <si>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</si>
  <si>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</si>
  <si>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</si>
  <si>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</si>
  <si>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</si>
  <si>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</si>
  <si>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</si>
  <si>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</si>
  <si>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</si>
  <si>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</si>
  <si>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</si>
  <si>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</si>
  <si>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</si>
  <si>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</si>
  <si>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</si>
  <si>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</si>
  <si>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</si>
  <si>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</si>
  <si>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</si>
  <si>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</si>
  <si>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</si>
  <si>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</si>
  <si>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</si>
  <si>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</si>
  <si>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</si>
  <si>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</si>
  <si>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</si>
  <si>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</si>
  <si>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</si>
  <si>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</si>
  <si>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</si>
  <si>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</si>
  <si>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</si>
  <si>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</si>
  <si>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</si>
  <si>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</si>
  <si>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</si>
  <si>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</si>
  <si>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</si>
  <si>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</si>
  <si>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</si>
  <si>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</si>
  <si>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</si>
  <si>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</si>
  <si>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</si>
  <si>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</si>
  <si>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</si>
  <si>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</si>
  <si>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</si>
  <si>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</si>
  <si>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</si>
  <si>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</si>
  <si>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</si>
  <si>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</si>
  <si>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</si>
  <si>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</si>
  <si>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</si>
  <si>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</si>
  <si>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</si>
  <si>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</si>
  <si>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</si>
  <si>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</si>
  <si>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</si>
  <si>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</si>
  <si>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</si>
  <si>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</si>
  <si>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</si>
  <si>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</si>
  <si>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</si>
  <si>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</si>
  <si>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</si>
  <si>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</si>
  <si>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</si>
  <si>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</si>
  <si>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</si>
  <si>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</si>
  <si>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</si>
  <si>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</si>
  <si>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</si>
  <si>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</si>
  <si>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</si>
  <si>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</si>
  <si>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</si>
  <si>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</si>
  <si>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</si>
  <si>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</si>
  <si>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</si>
  <si>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</si>
  <si>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</si>
  <si>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</si>
  <si>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</si>
  <si>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</si>
  <si>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</si>
  <si>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</si>
  <si>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</si>
  <si>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</si>
  <si>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</si>
  <si>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</si>
  <si>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</si>
  <si>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</si>
  <si>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</si>
  <si>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</si>
  <si>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</si>
  <si>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</si>
  <si>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</si>
  <si>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</si>
  <si>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</si>
  <si>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</si>
  <si>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</si>
  <si>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</si>
  <si>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</si>
  <si>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</si>
  <si>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</si>
  <si>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</si>
  <si>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</si>
  <si>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</si>
  <si>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</si>
  <si>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</si>
  <si>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</si>
  <si>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</si>
  <si>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</si>
  <si>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</si>
  <si>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</si>
  <si>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</si>
  <si>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</si>
  <si>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</si>
  <si>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</si>
  <si>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</si>
  <si>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</si>
  <si>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</si>
  <si>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</si>
  <si>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</si>
  <si>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</si>
  <si>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</si>
  <si>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</si>
  <si>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</si>
  <si>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</si>
  <si>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</si>
  <si>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</si>
  <si>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</si>
  <si>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</si>
  <si>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</si>
  <si>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</si>
  <si>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</si>
  <si>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</si>
  <si>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</si>
  <si>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</si>
  <si>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</si>
  <si>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</si>
  <si>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</si>
  <si>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</si>
  <si>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</si>
  <si>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</si>
  <si>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</si>
  <si>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</si>
  <si>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</si>
  <si>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</si>
  <si>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</si>
  <si>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</si>
  <si>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</si>
  <si>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</si>
  <si>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</si>
  <si>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</si>
  <si>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</si>
  <si>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</si>
  <si>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</si>
  <si>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</si>
  <si>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</si>
  <si>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</si>
  <si>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</si>
  <si>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</si>
  <si>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</si>
  <si>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</si>
  <si>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</si>
  <si>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</si>
  <si>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</si>
  <si>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</si>
  <si>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</si>
  <si>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</si>
  <si>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</si>
  <si>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</si>
  <si>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</si>
  <si>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</si>
  <si>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</si>
  <si>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</si>
  <si>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</si>
  <si>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</si>
  <si>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</si>
  <si>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</si>
  <si>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</si>
  <si>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</si>
  <si>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</si>
  <si>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</si>
  <si>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</si>
  <si>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</si>
  <si>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</si>
  <si>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</si>
  <si>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</si>
  <si>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</si>
  <si>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</si>
  <si>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</si>
  <si>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</si>
  <si>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</si>
  <si>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</si>
  <si>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</si>
  <si>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</si>
  <si>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</si>
  <si>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</si>
  <si>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</si>
  <si>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</si>
  <si>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</si>
  <si>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</si>
  <si>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</si>
  <si>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</si>
  <si>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</si>
  <si>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</si>
  <si>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</si>
  <si>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</si>
  <si>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</si>
  <si>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</si>
  <si>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</si>
  <si>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</si>
  <si>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</si>
  <si>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</si>
  <si>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</si>
  <si>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</si>
  <si>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</si>
  <si>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</si>
  <si>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</si>
  <si>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</si>
  <si>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</si>
  <si>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</si>
  <si>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</si>
  <si>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</si>
  <si>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</si>
  <si>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</si>
  <si>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</si>
  <si>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</si>
  <si>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</si>
  <si>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</si>
  <si>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</si>
  <si>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</si>
  <si>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</si>
  <si>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</si>
  <si>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</si>
  <si>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</si>
  <si>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</si>
  <si>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</si>
  <si>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</si>
  <si>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</si>
  <si>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</si>
  <si>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</si>
  <si>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</si>
  <si>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</si>
  <si>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</si>
  <si>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</si>
  <si>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</si>
  <si>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</si>
  <si>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</si>
  <si>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</si>
  <si>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</si>
  <si>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</si>
  <si>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</si>
  <si>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</si>
  <si>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</si>
  <si>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</si>
  <si>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</si>
  <si>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</si>
  <si>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</si>
  <si>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</si>
  <si>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</si>
  <si>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</si>
  <si>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</si>
  <si>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</si>
  <si>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</si>
  <si>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</si>
  <si>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</si>
  <si>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</si>
  <si>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</si>
  <si>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</si>
  <si>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</si>
  <si>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</si>
  <si>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</si>
  <si>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</si>
  <si>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</si>
  <si>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</si>
  <si>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</si>
  <si>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</si>
  <si>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</si>
  <si>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</si>
  <si>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</si>
  <si>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</si>
  <si>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</si>
  <si>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</si>
  <si>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</si>
  <si>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</si>
  <si>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</si>
  <si>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</si>
  <si>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</si>
  <si>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</si>
  <si>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</si>
  <si>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</si>
  <si>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</si>
  <si>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</si>
  <si>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</si>
  <si>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</si>
  <si>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</si>
  <si>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</si>
  <si>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</si>
  <si>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</si>
  <si>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</si>
  <si>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</si>
  <si>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</si>
  <si>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</si>
  <si>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</si>
  <si>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</si>
  <si>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</si>
  <si>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</si>
  <si>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</si>
  <si>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</si>
  <si>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</si>
  <si>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</si>
  <si>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</si>
  <si>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</si>
  <si>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</si>
  <si>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</si>
  <si>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</si>
  <si>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</si>
  <si>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</si>
  <si>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</si>
  <si>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</si>
  <si>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</si>
  <si>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</si>
  <si>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</si>
  <si>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</si>
  <si>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</si>
  <si>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</si>
  <si>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</si>
  <si>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</si>
  <si>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</si>
  <si>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</si>
  <si>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</si>
  <si>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</si>
  <si>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</si>
  <si>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</si>
  <si>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</si>
  <si>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</si>
  <si>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</si>
  <si>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</si>
  <si>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</si>
  <si>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</si>
  <si>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</si>
  <si>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</si>
  <si>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</si>
  <si>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</si>
  <si>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</si>
  <si>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</si>
  <si>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</si>
  <si>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</si>
  <si>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</si>
  <si>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</si>
  <si>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</si>
  <si>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</si>
  <si>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</si>
  <si>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</si>
  <si>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</si>
  <si>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</si>
  <si>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</si>
  <si>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</si>
  <si>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</si>
  <si>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</si>
  <si>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</si>
  <si>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</si>
  <si>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</si>
  <si>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</si>
  <si>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</si>
  <si>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</si>
  <si>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</si>
  <si>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</si>
  <si>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</si>
  <si>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</si>
  <si>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</si>
  <si>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</si>
  <si>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</si>
  <si>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</si>
  <si>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</si>
  <si>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</si>
  <si>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</si>
  <si>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</si>
  <si>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</si>
  <si>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</si>
  <si>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</si>
  <si>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</si>
  <si>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</si>
  <si>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</si>
  <si>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</si>
  <si>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</si>
  <si>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</si>
  <si>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</si>
  <si>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</si>
  <si>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</si>
  <si>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</si>
  <si>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</si>
  <si>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</si>
  <si>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</si>
  <si>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</si>
  <si>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</si>
  <si>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</si>
  <si>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</si>
  <si>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</si>
  <si>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</si>
  <si>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</si>
  <si>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</si>
  <si>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</si>
  <si>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</si>
  <si>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</si>
  <si>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</si>
  <si>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</si>
  <si>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</si>
  <si>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</si>
  <si>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</si>
  <si>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</si>
  <si>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</si>
  <si>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</si>
  <si>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</si>
  <si>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</si>
  <si>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</si>
  <si>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</si>
  <si>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</si>
  <si>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</si>
  <si>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</si>
  <si>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</si>
  <si>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</si>
  <si>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</si>
  <si>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</si>
  <si>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</si>
  <si>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</si>
  <si>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</si>
  <si>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</si>
  <si>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</si>
  <si>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</si>
  <si>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</si>
  <si>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</si>
  <si>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</si>
  <si>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</si>
  <si>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</si>
  <si>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</si>
  <si>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</si>
  <si>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</si>
  <si>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</si>
  <si>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</si>
  <si>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</si>
  <si>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</si>
  <si>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</si>
  <si>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</si>
  <si>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</si>
  <si>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</si>
  <si>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</si>
  <si>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</si>
  <si>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</si>
  <si>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</si>
  <si>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</si>
  <si>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</si>
  <si>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</si>
  <si>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</si>
  <si>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</si>
  <si>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</si>
  <si>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</si>
  <si>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</si>
  <si>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</si>
  <si>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</si>
  <si>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</si>
  <si>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</si>
  <si>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</si>
  <si>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</si>
  <si>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</si>
  <si>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</si>
  <si>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</si>
  <si>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</si>
  <si>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East</t>
  </si>
  <si>
    <t>West</t>
  </si>
  <si>
    <t>North</t>
  </si>
  <si>
    <t>South</t>
  </si>
  <si>
    <t>north</t>
  </si>
  <si>
    <t>Clothing</t>
  </si>
  <si>
    <t>Electronics</t>
  </si>
  <si>
    <t>Furniture</t>
  </si>
  <si>
    <t>Office Supplies</t>
  </si>
  <si>
    <t>electronics</t>
  </si>
  <si>
    <t>Shoes</t>
  </si>
  <si>
    <t>Keyboard</t>
  </si>
  <si>
    <t>Desk</t>
  </si>
  <si>
    <t>Headphones</t>
  </si>
  <si>
    <t>Stapler</t>
  </si>
  <si>
    <t>Laptop</t>
  </si>
  <si>
    <t>Jacket</t>
  </si>
  <si>
    <t>Printer Paper</t>
  </si>
  <si>
    <t>T-Shirt</t>
  </si>
  <si>
    <t>Chair</t>
  </si>
  <si>
    <t>Table</t>
  </si>
  <si>
    <t>Notebook</t>
  </si>
  <si>
    <t>Pen Set</t>
  </si>
  <si>
    <t>Jeans</t>
  </si>
  <si>
    <t>Bookshelf</t>
  </si>
  <si>
    <t>Monitor</t>
  </si>
  <si>
    <t>CUST-088</t>
  </si>
  <si>
    <t>CUST-021</t>
  </si>
  <si>
    <t>CUST-015</t>
  </si>
  <si>
    <t>CUST-130</t>
  </si>
  <si>
    <t>CUST-132</t>
  </si>
  <si>
    <t>CUST-014</t>
  </si>
  <si>
    <t>CUST-124</t>
  </si>
  <si>
    <t>CUST-063</t>
  </si>
  <si>
    <t>CUST-041</t>
  </si>
  <si>
    <t>CUST-035</t>
  </si>
  <si>
    <t>CUST-137</t>
  </si>
  <si>
    <t>CUST-143</t>
  </si>
  <si>
    <t>CUST-045</t>
  </si>
  <si>
    <t>CUST-092</t>
  </si>
  <si>
    <t>CUST-103</t>
  </si>
  <si>
    <t>CUST-096</t>
  </si>
  <si>
    <t>CUST-081</t>
  </si>
  <si>
    <t>CUST-053</t>
  </si>
  <si>
    <t>CUST-024</t>
  </si>
  <si>
    <t>CUST-148</t>
  </si>
  <si>
    <t>CUST-082</t>
  </si>
  <si>
    <t>CUST-090</t>
  </si>
  <si>
    <t>CUST-009</t>
  </si>
  <si>
    <t>CUST-104</t>
  </si>
  <si>
    <t>CUST-054</t>
  </si>
  <si>
    <t>CUST-145</t>
  </si>
  <si>
    <t>CUST-027</t>
  </si>
  <si>
    <t>CUST-147</t>
  </si>
  <si>
    <t>CUST-067</t>
  </si>
  <si>
    <t>CUST-127</t>
  </si>
  <si>
    <t>CUST-026</t>
  </si>
  <si>
    <t>CUST-008</t>
  </si>
  <si>
    <t>CUST-125</t>
  </si>
  <si>
    <t>CUST-060</t>
  </si>
  <si>
    <t>CUST-013</t>
  </si>
  <si>
    <t>CUST-117</t>
  </si>
  <si>
    <t>CUST-126</t>
  </si>
  <si>
    <t>CUST-093</t>
  </si>
  <si>
    <t>CUST-094</t>
  </si>
  <si>
    <t>CUST-033</t>
  </si>
  <si>
    <t>CUST-084</t>
  </si>
  <si>
    <t>CUST-135</t>
  </si>
  <si>
    <t>CUST-138</t>
  </si>
  <si>
    <t>CUST-037</t>
  </si>
  <si>
    <t>CUST-086</t>
  </si>
  <si>
    <t>CUST-028</t>
  </si>
  <si>
    <t>CUST-144</t>
  </si>
  <si>
    <t>CUST-075</t>
  </si>
  <si>
    <t>CUST-005</t>
  </si>
  <si>
    <t>CUST-105</t>
  </si>
  <si>
    <t>CUST-044</t>
  </si>
  <si>
    <t>CUST-012</t>
  </si>
  <si>
    <t>CUST-141</t>
  </si>
  <si>
    <t>CUST-109</t>
  </si>
  <si>
    <t>CUST-095</t>
  </si>
  <si>
    <t>CUST-078</t>
  </si>
  <si>
    <t>CUST-079</t>
  </si>
  <si>
    <t>CUST-074</t>
  </si>
  <si>
    <t>CUST-115</t>
  </si>
  <si>
    <t>CUST-061</t>
  </si>
  <si>
    <t>CUST-073</t>
  </si>
  <si>
    <t>CUST-018</t>
  </si>
  <si>
    <t>CUST-101</t>
  </si>
  <si>
    <t>CUST-070</t>
  </si>
  <si>
    <t>CUST-040</t>
  </si>
  <si>
    <t>CUST-020</t>
  </si>
  <si>
    <t>CUST-003</t>
  </si>
  <si>
    <t>CUST-062</t>
  </si>
  <si>
    <t>CUST-039</t>
  </si>
  <si>
    <t>CUST-036</t>
  </si>
  <si>
    <t>CUST-120</t>
  </si>
  <si>
    <t>CUST-011</t>
  </si>
  <si>
    <t>CUST-025</t>
  </si>
  <si>
    <t>CUST-114</t>
  </si>
  <si>
    <t>CUST-071</t>
  </si>
  <si>
    <t>CUST-049</t>
  </si>
  <si>
    <t>CUST-113</t>
  </si>
  <si>
    <t>CUST-087</t>
  </si>
  <si>
    <t>CUST-072</t>
  </si>
  <si>
    <t>CUST-032</t>
  </si>
  <si>
    <t>CUST-085</t>
  </si>
  <si>
    <t>CUST-122</t>
  </si>
  <si>
    <t>CUST-051</t>
  </si>
  <si>
    <t>CUST-108</t>
  </si>
  <si>
    <t>CUST-017</t>
  </si>
  <si>
    <t>CUST-118</t>
  </si>
  <si>
    <t>CUST-047</t>
  </si>
  <si>
    <t>CUST-007</t>
  </si>
  <si>
    <t>CUST-055</t>
  </si>
  <si>
    <t>CUST-006</t>
  </si>
  <si>
    <t>CUST-059</t>
  </si>
  <si>
    <t>CUST-029</t>
  </si>
  <si>
    <t>CUST-064</t>
  </si>
  <si>
    <t>CUST-131</t>
  </si>
  <si>
    <t>CUST-097</t>
  </si>
  <si>
    <t>CUST-123</t>
  </si>
  <si>
    <t>CUST-038</t>
  </si>
  <si>
    <t>CUST-129</t>
  </si>
  <si>
    <t>CUST-107</t>
  </si>
  <si>
    <t>CUST-150</t>
  </si>
  <si>
    <t>CUST-089</t>
  </si>
  <si>
    <t>CUST-119</t>
  </si>
  <si>
    <t>CUST-042</t>
  </si>
  <si>
    <t>CUST-149</t>
  </si>
  <si>
    <t>CUST-002</t>
  </si>
  <si>
    <t>CUST-031</t>
  </si>
  <si>
    <t>CUST-121</t>
  </si>
  <si>
    <t>CUST-142</t>
  </si>
  <si>
    <t>CUST-091</t>
  </si>
  <si>
    <t>CUST-083</t>
  </si>
  <si>
    <t>CUST-116</t>
  </si>
  <si>
    <t>CUST-110</t>
  </si>
  <si>
    <t>CUST-046</t>
  </si>
  <si>
    <t>CUST-022</t>
  </si>
  <si>
    <t>CUST-057</t>
  </si>
  <si>
    <t>CUST-019</t>
  </si>
  <si>
    <t>CUST-050</t>
  </si>
  <si>
    <t>CUST-106</t>
  </si>
  <si>
    <t>CUST-069</t>
  </si>
  <si>
    <t>CUST-043</t>
  </si>
  <si>
    <t>CUST-016</t>
  </si>
  <si>
    <t>CUST-128</t>
  </si>
  <si>
    <t>CUST-099</t>
  </si>
  <si>
    <t>CUST-030</t>
  </si>
  <si>
    <t>CUST-065</t>
  </si>
  <si>
    <t>CUST-100</t>
  </si>
  <si>
    <t>CUST-136</t>
  </si>
  <si>
    <t>CUST-034</t>
  </si>
  <si>
    <t>CUST-098</t>
  </si>
  <si>
    <t>CUST-139</t>
  </si>
  <si>
    <t>CUST-102</t>
  </si>
  <si>
    <t>CUST-134</t>
  </si>
  <si>
    <t>CUST-052</t>
  </si>
  <si>
    <t>CUST-068</t>
  </si>
  <si>
    <t>CUST-004</t>
  </si>
  <si>
    <t>CUST-080</t>
  </si>
  <si>
    <t>CUST-140</t>
  </si>
  <si>
    <t>CUST-076</t>
  </si>
  <si>
    <t>CUST-058</t>
  </si>
  <si>
    <t>CUST-010</t>
  </si>
  <si>
    <t>CUST-077</t>
  </si>
  <si>
    <t>CUST-001</t>
  </si>
  <si>
    <t>CUST-133</t>
  </si>
  <si>
    <t>CUST-111</t>
  </si>
  <si>
    <t xml:space="preserve"> 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</si>
  <si>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</si>
  <si>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</si>
  <si>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</si>
  <si>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</si>
  <si>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</si>
  <si>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</si>
  <si>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</si>
  <si>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</si>
  <si>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</si>
  <si>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</si>
  <si>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</si>
  <si>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</si>
  <si>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</si>
  <si>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</si>
  <si>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</si>
  <si>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Profit Margin</t>
  </si>
  <si>
    <t>E-Commerce Sales Dashboard</t>
  </si>
  <si>
    <r>
      <t>1. North</t>
    </r>
    <r>
      <rPr>
        <sz val="11"/>
        <color theme="1"/>
        <rFont val="Calibri"/>
        <family val="2"/>
        <scheme val="minor"/>
      </rPr>
      <t xml:space="preserve"> has the highest sales, profit, and profit margin.</t>
    </r>
  </si>
  <si>
    <r>
      <t>2. Electronics</t>
    </r>
    <r>
      <rPr>
        <sz val="11"/>
        <color theme="1"/>
        <rFont val="Calibri"/>
        <family val="2"/>
        <scheme val="minor"/>
      </rPr>
      <t xml:space="preserve"> generates the highest sales and profit.</t>
    </r>
  </si>
  <si>
    <r>
      <t>3. Office Supplies</t>
    </r>
    <r>
      <rPr>
        <sz val="11"/>
        <color theme="1"/>
        <rFont val="Calibri"/>
        <family val="2"/>
        <scheme val="minor"/>
      </rPr>
      <t xml:space="preserve"> has the highest profit margin.</t>
    </r>
  </si>
  <si>
    <r>
      <t>4. 20% discount</t>
    </r>
    <r>
      <rPr>
        <sz val="11"/>
        <color theme="1"/>
        <rFont val="Calibri"/>
        <family val="2"/>
        <scheme val="minor"/>
      </rPr>
      <t xml:space="preserve"> shows the lowest total profit.</t>
    </r>
  </si>
  <si>
    <t>1. Replicate successful strategies from North in weaker regions.</t>
  </si>
  <si>
    <t>2. Focus on Electronics while improving its profit margin.</t>
  </si>
  <si>
    <t>3. Increase sales volume of high-margin Office Supplies.</t>
  </si>
  <si>
    <t>4. Review heavy discounting, especially 20% discounts.</t>
  </si>
  <si>
    <t>Total Sales</t>
  </si>
  <si>
    <t>Total Profit</t>
  </si>
  <si>
    <t>Total Orders</t>
  </si>
  <si>
    <t xml:space="preserve">               Key Insights</t>
  </si>
  <si>
    <t xml:space="preserve">          Recommendations</t>
  </si>
  <si>
    <t xml:space="preserve"> KPI CARDS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</si>
</sst>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  <xf numFmtId="2" fontId="1" fillId="0" borderId="1" xfId="0" applyNumberFormat="1" applyFont="1" applyBorder="1" applyAlignment="1">
      <alignment horizontal="center" vertical="top"/>
    </xf>
    <xf numFmtId="2" fontId="0" fillId="0" borderId="1" xfId="0" applyNumberFormat="1" applyBorder="1"/>
    <xf numFmtId="10" fontId="1" fillId="0" borderId="1" xfId="1" applyNumberFormat="1" applyFont="1" applyBorder="1" applyAlignment="1">
      <alignment horizontal="center" vertical="top"/>
    </xf>
    <xf numFmtId="10" fontId="0" fillId="0" borderId="1" xfId="1" applyNumberFormat="1" applyFont="1" applyBorder="1"/>
    <xf numFmtId="10" fontId="0" fillId="0" borderId="0" xfId="1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3" fillId="2" borderId="0" xfId="0" applyFont="1" applyFill="1"/>
    <xf numFmtId="0" fontId="1" fillId="0" borderId="0" xfId="0" applyFont="1"/>
    <xf numFmtId="0" fontId="1" fillId="2" borderId="1" xfId="0" applyFont="1" applyFill="1" applyBorder="1"/>
    <xf numFmtId="9" fontId="0" fillId="2" borderId="1" xfId="1" applyFont="1" applyFill="1" applyBorder="1"/>
    <xf numFmtId="0" fontId="0" fillId="2" borderId="1" xfId="0" applyFill="1" applyBorder="1"/>
    <xf numFmtId="0" fontId="4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43" fontId="0" fillId="0" borderId="1" xfId="2" applyFont="1" applyBorder="1"/>
    <xf numFmtId="4" fontId="0" fillId="0" borderId="1" xfId="0" applyNumberFormat="1" applyBorder="1"/>
    <xf numFmtId="10" fontId="0" fillId="0" borderId="1" xfId="0" applyNumberFormat="1" applyBorder="1"/>
    <xf numFmtId="0" fontId="5" fillId="0" borderId="0" xfId="0" applyFont="1" applyAlignment="1">
      <alignment vertical="center"/>
    </xf>
    <xf numFmtId="0" fontId="6" fillId="0" borderId="0" xfId="0" applyFont="1"/>
  </cellXfs>
  <cellStyles count="3">
    <cellStyle name="Comma" xfId="2" builtinId="3"/>
    <cellStyle name="Normal" xfId="0" builtinId="0"/>
    <cellStyle name="Percent" xfId="1" builtinId="5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ont>
        <color theme="7" tint="-0.249977111117893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[Project1.xlsx]Monthly Sales!PivotTable1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Sales Trend</a:t>
            </a:r>
          </a:p>
        </c:rich>
      </c:tx>
      <c:layout>
        <c:manualLayout>
          <c:xMode val="edge"/>
          <c:yMode val="edge"/>
          <c:x val="0.36902515150530657"/>
          <c:y val="1.825748808591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36351.449999999997</c:v>
                </c:pt>
                <c:pt idx="1">
                  <c:v>24110.3</c:v>
                </c:pt>
                <c:pt idx="2">
                  <c:v>36567.100000000006</c:v>
                </c:pt>
                <c:pt idx="3">
                  <c:v>26129.649999999998</c:v>
                </c:pt>
                <c:pt idx="4">
                  <c:v>31843.100000000002</c:v>
                </c:pt>
                <c:pt idx="5">
                  <c:v>44346.950000000004</c:v>
                </c:pt>
                <c:pt idx="6">
                  <c:v>22866.799999999999</c:v>
                </c:pt>
                <c:pt idx="7">
                  <c:v>45807.950000000004</c:v>
                </c:pt>
                <c:pt idx="8">
                  <c:v>29701.100000000009</c:v>
                </c:pt>
                <c:pt idx="9">
                  <c:v>36039.75</c:v>
                </c:pt>
                <c:pt idx="10">
                  <c:v>44763.45</c:v>
                </c:pt>
                <c:pt idx="11">
                  <c:v>32300.700000000008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B2-4055-B350-7A58FA467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509528"/>
        <c:axId val="476512480"/>
      </c:lineChart>
      <c:catAx>
        <c:axId val="476509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512480"/>
        <c:crosses val="autoZero"/>
        <c:auto val="1"/>
        <c:lblAlgn val="ctr"/>
        <c:lblOffset val="100"/>
        <c:noMultiLvlLbl val="0"/>
      </c:catAx>
      <c:valAx>
        <c:axId val="476512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509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[Project1.xlsx]Region Wise Sales!PivotTable2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Region-wise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'Region Wise Sales'!$A$4:$A$8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Sales'!$B$4:$B$8</c:f>
              <c:numCache>
                <c:formatCode>General</c:formatCode>
                <c:ptCount val="4"/>
                <c:pt idx="0">
                  <c:v>104348.90000000001</c:v>
                </c:pt>
                <c:pt idx="1">
                  <c:v>115429.94999999997</c:v>
                </c:pt>
                <c:pt idx="2">
                  <c:v>83361.899999999994</c:v>
                </c:pt>
                <c:pt idx="3">
                  <c:v>107687.54999999999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4-4C1A-A8F1-7BCEFEC60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9730864"/>
        <c:axId val="629735456"/>
      </c:barChart>
      <c:catAx>
        <c:axId val="62973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35456"/>
        <c:crosses val="autoZero"/>
        <c:auto val="1"/>
        <c:lblAlgn val="ctr"/>
        <c:lblOffset val="100"/>
        <c:noMultiLvlLbl val="0"/>
      </c:catAx>
      <c:valAx>
        <c:axId val="62973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3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[Project1.xlsx]TOP 3 PRODUCT!PivotTable3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3 Products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3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3 PRODUCT'!$A$4:$A$7</c:f>
              <c:strCache>
                <c:ptCount val="3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</c:strCache>
            </c:strRef>
          </c:cat>
          <c:val>
            <c:numRef>
              <c:f>'TOP 3 PRODUCT'!$B$4:$B$7</c:f>
              <c:numCache>
                <c:formatCode>General</c:formatCode>
                <c:ptCount val="3"/>
                <c:pt idx="0">
                  <c:v>62162.15</c:v>
                </c:pt>
                <c:pt idx="1">
                  <c:v>49876.800000000003</c:v>
                </c:pt>
                <c:pt idx="2">
                  <c:v>52038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5-4498-BB4A-73E5F88CE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4205968"/>
        <c:axId val="594200064"/>
      </c:barChart>
      <c:catAx>
        <c:axId val="59420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00064"/>
        <c:crosses val="autoZero"/>
        <c:auto val="1"/>
        <c:lblAlgn val="ctr"/>
        <c:lblOffset val="100"/>
        <c:noMultiLvlLbl val="0"/>
      </c:catAx>
      <c:valAx>
        <c:axId val="59420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0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[Project1.xlsx]Category Wise Sale!PivotTable5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Category-wise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Wise Sale'!$B$3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Wise Sale'!$A$4:$A$8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'Category Wise Sale'!$B$4:$B$8</c:f>
              <c:numCache>
                <c:formatCode>General</c:formatCode>
                <c:ptCount val="4"/>
                <c:pt idx="0">
                  <c:v>37185.950000000004</c:v>
                </c:pt>
                <c:pt idx="1">
                  <c:v>215403.6</c:v>
                </c:pt>
                <c:pt idx="2">
                  <c:v>131332.25</c:v>
                </c:pt>
                <c:pt idx="3">
                  <c:v>26906.499999999993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3-47FC-B31E-0011B94FF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2920408"/>
        <c:axId val="662915488"/>
      </c:barChart>
      <c:catAx>
        <c:axId val="662920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15488"/>
        <c:crosses val="autoZero"/>
        <c:auto val="1"/>
        <c:lblAlgn val="ctr"/>
        <c:lblOffset val="100"/>
        <c:noMultiLvlLbl val="0"/>
      </c:catAx>
      <c:valAx>
        <c:axId val="66291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20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10</xdr:row>
      <xdr:rowOff>50800</xdr:rowOff>
    </xdr:from>
    <xdr:to>
      <xdr:col>8</xdr:col>
      <xdr:colOff>469900</xdr:colOff>
      <xdr:row>25</xdr:row>
      <xdr:rowOff>31750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2FCAAE7B-D883-442E-9C1E-D631AB476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155575</xdr:colOff>
      <xdr:row>27</xdr:row>
      <xdr:rowOff>174625</xdr:rowOff>
    </xdr:from>
    <xdr:to>
      <xdr:col>8</xdr:col>
      <xdr:colOff>460375</xdr:colOff>
      <xdr:row>42</xdr:row>
      <xdr:rowOff>155575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6B21A0A7-65E3-4A55-879B-42650D9EF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358775</xdr:colOff>
      <xdr:row>10</xdr:row>
      <xdr:rowOff>66675</xdr:rowOff>
    </xdr:from>
    <xdr:to>
      <xdr:col>17</xdr:col>
      <xdr:colOff>53975</xdr:colOff>
      <xdr:row>25</xdr:row>
      <xdr:rowOff>47625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2380DBE9-293A-49A7-828E-75246FD69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457200</xdr:colOff>
      <xdr:row>27</xdr:row>
      <xdr:rowOff>171450</xdr:rowOff>
    </xdr:from>
    <xdr:to>
      <xdr:col>17</xdr:col>
      <xdr:colOff>152400</xdr:colOff>
      <xdr:row>42</xdr:row>
      <xdr:rowOff>139700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2FA71983-8CCC-4C6A-B19E-C535FBB1E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c" refreshedDate="46258.056278819444" createdVersion="7" refreshedVersion="7" minRefreshableVersion="3" recordCount="500" xr:uid="{22C5ED9A-376B-4BBC-8237-FAB7D7CC26C2}">
  <cacheSource type="worksheet">
    <worksheetSource ref="A1:J501" sheet="RAW DATA"/>
  </cacheSource>
  <cacheFields count="11">
    <cacheField name="Order ID" numFmtId="0">
      <sharedItems/>
    </cacheField>
    <cacheField name="Date" numFmtId="14">
      <sharedItems containsSemiMixedTypes="0" containsNonDate="0" containsDate="1" containsString="0" minDate="2025-01-03T00:00:00" maxDate="2026-01-01T00:00:00" count="270">
        <d v="2025-08-03T00:00:00"/>
        <d v="2025-07-11T00:00:00"/>
        <d v="2025-06-19T00:00:00"/>
        <d v="2025-11-03T00:00:00"/>
        <d v="2025-12-12T00:00:00"/>
        <d v="2025-02-19T00:00:00"/>
        <d v="2025-08-06T00:00:00"/>
        <d v="2025-02-22T00:00:00"/>
        <d v="2025-05-16T00:00:00"/>
        <d v="2025-08-19T00:00:00"/>
        <d v="2025-12-26T00:00:00"/>
        <d v="2025-12-25T00:00:00"/>
        <d v="2025-08-10T00:00:00"/>
        <d v="2025-03-07T00:00:00"/>
        <d v="2025-11-27T00:00:00"/>
        <d v="2025-08-21T00:00:00"/>
        <d v="2025-11-11T00:00:00"/>
        <d v="2025-04-11T00:00:00"/>
        <d v="2025-05-06T00:00:00"/>
        <d v="2025-09-12T00:00:00"/>
        <d v="2025-12-15T00:00:00"/>
        <d v="2025-05-08T00:00:00"/>
        <d v="2025-09-09T00:00:00"/>
        <d v="2025-06-09T00:00:00"/>
        <d v="2025-03-16T00:00:00"/>
        <d v="2025-12-04T00:00:00"/>
        <d v="2025-05-15T00:00:00"/>
        <d v="2025-09-21T00:00:00"/>
        <d v="2025-11-13T00:00:00"/>
        <d v="2025-09-10T00:00:00"/>
        <d v="2025-12-08T00:00:00"/>
        <d v="2025-02-08T00:00:00"/>
        <d v="2025-01-20T00:00:00"/>
        <d v="2025-03-04T00:00:00"/>
        <d v="2025-11-04T00:00:00"/>
        <d v="2025-10-17T00:00:00"/>
        <d v="2025-03-10T00:00:00"/>
        <d v="2025-08-11T00:00:00"/>
        <d v="2025-04-25T00:00:00"/>
        <d v="2025-09-06T00:00:00"/>
        <d v="2025-06-01T00:00:00"/>
        <d v="2025-03-25T00:00:00"/>
        <d v="2025-09-22T00:00:00"/>
        <d v="2025-10-10T00:00:00"/>
        <d v="2025-11-23T00:00:00"/>
        <d v="2025-04-01T00:00:00"/>
        <d v="2025-05-14T00:00:00"/>
        <d v="2025-06-13T00:00:00"/>
        <d v="2025-09-16T00:00:00"/>
        <d v="2025-03-31T00:00:00"/>
        <d v="2025-07-31T00:00:00"/>
        <d v="2025-11-08T00:00:00"/>
        <d v="2025-01-06T00:00:00"/>
        <d v="2025-05-25T00:00:00"/>
        <d v="2025-10-15T00:00:00"/>
        <d v="2025-09-25T00:00:00"/>
        <d v="2025-07-03T00:00:00"/>
        <d v="2025-08-23T00:00:00"/>
        <d v="2025-04-02T00:00:00"/>
        <d v="2025-03-02T00:00:00"/>
        <d v="2025-03-19T00:00:00"/>
        <d v="2025-08-26T00:00:00"/>
        <d v="2025-09-30T00:00:00"/>
        <d v="2025-03-08T00:00:00"/>
        <d v="2025-02-11T00:00:00"/>
        <d v="2025-05-30T00:00:00"/>
        <d v="2025-08-31T00:00:00"/>
        <d v="2025-03-03T00:00:00"/>
        <d v="2025-10-02T00:00:00"/>
        <d v="2025-12-22T00:00:00"/>
        <d v="2025-06-17T00:00:00"/>
        <d v="2025-11-01T00:00:00"/>
        <d v="2025-02-04T00:00:00"/>
        <d v="2025-08-01T00:00:00"/>
        <d v="2025-10-23T00:00:00"/>
        <d v="2025-08-13T00:00:00"/>
        <d v="2025-01-15T00:00:00"/>
        <d v="2025-10-16T00:00:00"/>
        <d v="2025-08-16T00:00:00"/>
        <d v="2025-04-05T00:00:00"/>
        <d v="2025-11-20T00:00:00"/>
        <d v="2025-02-24T00:00:00"/>
        <d v="2025-09-01T00:00:00"/>
        <d v="2025-09-08T00:00:00"/>
        <d v="2025-06-07T00:00:00"/>
        <d v="2025-06-24T00:00:00"/>
        <d v="2025-06-11T00:00:00"/>
        <d v="2025-03-29T00:00:00"/>
        <d v="2025-09-20T00:00:00"/>
        <d v="2025-01-11T00:00:00"/>
        <d v="2025-12-21T00:00:00"/>
        <d v="2025-07-28T00:00:00"/>
        <d v="2025-04-19T00:00:00"/>
        <d v="2025-06-02T00:00:00"/>
        <d v="2025-12-29T00:00:00"/>
        <d v="2025-04-23T00:00:00"/>
        <d v="2025-09-07T00:00:00"/>
        <d v="2025-03-14T00:00:00"/>
        <d v="2025-05-11T00:00:00"/>
        <d v="2025-05-29T00:00:00"/>
        <d v="2025-12-31T00:00:00"/>
        <d v="2025-12-01T00:00:00"/>
        <d v="2025-04-13T00:00:00"/>
        <d v="2025-07-02T00:00:00"/>
        <d v="2025-04-18T00:00:00"/>
        <d v="2025-08-15T00:00:00"/>
        <d v="2025-09-23T00:00:00"/>
        <d v="2025-10-20T00:00:00"/>
        <d v="2025-07-17T00:00:00"/>
        <d v="2025-03-13T00:00:00"/>
        <d v="2025-06-27T00:00:00"/>
        <d v="2025-12-23T00:00:00"/>
        <d v="2025-07-10T00:00:00"/>
        <d v="2025-03-15T00:00:00"/>
        <d v="2025-08-30T00:00:00"/>
        <d v="2025-01-26T00:00:00"/>
        <d v="2025-10-30T00:00:00"/>
        <d v="2025-11-12T00:00:00"/>
        <d v="2025-11-15T00:00:00"/>
        <d v="2025-07-21T00:00:00"/>
        <d v="2025-11-24T00:00:00"/>
        <d v="2025-11-10T00:00:00"/>
        <d v="2025-03-28T00:00:00"/>
        <d v="2025-06-08T00:00:00"/>
        <d v="2025-06-26T00:00:00"/>
        <d v="2025-10-22T00:00:00"/>
        <d v="2025-11-21T00:00:00"/>
        <d v="2025-11-22T00:00:00"/>
        <d v="2025-10-28T00:00:00"/>
        <d v="2025-11-28T00:00:00"/>
        <d v="2025-04-17T00:00:00"/>
        <d v="2025-05-10T00:00:00"/>
        <d v="2025-01-08T00:00:00"/>
        <d v="2025-04-29T00:00:00"/>
        <d v="2025-10-29T00:00:00"/>
        <d v="2025-08-08T00:00:00"/>
        <d v="2025-05-23T00:00:00"/>
        <d v="2025-04-20T00:00:00"/>
        <d v="2025-04-27T00:00:00"/>
        <d v="2025-01-21T00:00:00"/>
        <d v="2025-09-28T00:00:00"/>
        <d v="2025-01-27T00:00:00"/>
        <d v="2025-10-25T00:00:00"/>
        <d v="2025-05-21T00:00:00"/>
        <d v="2025-05-01T00:00:00"/>
        <d v="2025-04-10T00:00:00"/>
        <d v="2025-08-14T00:00:00"/>
        <d v="2025-05-26T00:00:00"/>
        <d v="2025-04-12T00:00:00"/>
        <d v="2025-12-19T00:00:00"/>
        <d v="2025-11-29T00:00:00"/>
        <d v="2025-12-30T00:00:00"/>
        <d v="2025-02-07T00:00:00"/>
        <d v="2025-03-23T00:00:00"/>
        <d v="2025-06-12T00:00:00"/>
        <d v="2025-11-06T00:00:00"/>
        <d v="2025-01-25T00:00:00"/>
        <d v="2025-02-25T00:00:00"/>
        <d v="2025-09-17T00:00:00"/>
        <d v="2025-05-13T00:00:00"/>
        <d v="2025-03-06T00:00:00"/>
        <d v="2025-03-01T00:00:00"/>
        <d v="2025-08-02T00:00:00"/>
        <d v="2025-08-20T00:00:00"/>
        <d v="2025-09-18T00:00:00"/>
        <d v="2025-09-13T00:00:00"/>
        <d v="2025-05-02T00:00:00"/>
        <d v="2025-12-14T00:00:00"/>
        <d v="2025-02-13T00:00:00"/>
        <d v="2025-01-30T00:00:00"/>
        <d v="2025-01-03T00:00:00"/>
        <d v="2025-04-22T00:00:00"/>
        <d v="2025-01-14T00:00:00"/>
        <d v="2025-04-21T00:00:00"/>
        <d v="2025-12-02T00:00:00"/>
        <d v="2025-04-26T00:00:00"/>
        <d v="2025-02-16T00:00:00"/>
        <d v="2025-02-20T00:00:00"/>
        <d v="2025-02-05T00:00:00"/>
        <d v="2025-07-22T00:00:00"/>
        <d v="2025-06-10T00:00:00"/>
        <d v="2025-01-28T00:00:00"/>
        <d v="2025-12-07T00:00:00"/>
        <d v="2025-03-27T00:00:00"/>
        <d v="2025-02-01T00:00:00"/>
        <d v="2025-09-05T00:00:00"/>
        <d v="2025-02-10T00:00:00"/>
        <d v="2025-05-19T00:00:00"/>
        <d v="2025-02-15T00:00:00"/>
        <d v="2025-10-08T00:00:00"/>
        <d v="2025-07-20T00:00:00"/>
        <d v="2025-11-30T00:00:00"/>
        <d v="2025-08-04T00:00:00"/>
        <d v="2025-06-28T00:00:00"/>
        <d v="2025-07-13T00:00:00"/>
        <d v="2025-12-06T00:00:00"/>
        <d v="2025-01-17T00:00:00"/>
        <d v="2025-08-27T00:00:00"/>
        <d v="2025-04-15T00:00:00"/>
        <d v="2025-10-21T00:00:00"/>
        <d v="2025-11-09T00:00:00"/>
        <d v="2025-11-17T00:00:00"/>
        <d v="2025-01-31T00:00:00"/>
        <d v="2025-06-04T00:00:00"/>
        <d v="2025-10-07T00:00:00"/>
        <d v="2025-09-24T00:00:00"/>
        <d v="2025-01-12T00:00:00"/>
        <d v="2025-07-27T00:00:00"/>
        <d v="2025-01-23T00:00:00"/>
        <d v="2025-06-22T00:00:00"/>
        <d v="2025-08-22T00:00:00"/>
        <d v="2025-06-03T00:00:00"/>
        <d v="2025-11-16T00:00:00"/>
        <d v="2025-07-05T00:00:00"/>
        <d v="2025-11-25T00:00:00"/>
        <d v="2025-01-13T00:00:00"/>
        <d v="2025-07-24T00:00:00"/>
        <d v="2025-10-09T00:00:00"/>
        <d v="2025-12-24T00:00:00"/>
        <d v="2025-06-05T00:00:00"/>
        <d v="2025-08-29T00:00:00"/>
        <d v="2025-10-01T00:00:00"/>
        <d v="2025-10-05T00:00:00"/>
        <d v="2025-07-07T00:00:00"/>
        <d v="2025-01-24T00:00:00"/>
        <d v="2025-09-11T00:00:00"/>
        <d v="2025-07-04T00:00:00"/>
        <d v="2025-09-29T00:00:00"/>
        <d v="2025-06-16T00:00:00"/>
        <d v="2025-05-27T00:00:00"/>
        <d v="2025-01-22T00:00:00"/>
        <d v="2025-03-24T00:00:00"/>
        <d v="2025-04-07T00:00:00"/>
        <d v="2025-01-19T00:00:00"/>
        <d v="2025-03-20T00:00:00"/>
        <d v="2025-12-27T00:00:00"/>
        <d v="2025-11-14T00:00:00"/>
        <d v="2025-10-18T00:00:00"/>
        <d v="2025-08-18T00:00:00"/>
        <d v="2025-11-19T00:00:00"/>
        <d v="2025-09-15T00:00:00"/>
        <d v="2025-05-17T00:00:00"/>
        <d v="2025-03-18T00:00:00"/>
        <d v="2025-02-27T00:00:00"/>
        <d v="2025-05-09T00:00:00"/>
        <d v="2025-06-14T00:00:00"/>
        <d v="2025-03-26T00:00:00"/>
        <d v="2025-12-20T00:00:00"/>
        <d v="2025-02-14T00:00:00"/>
        <d v="2025-04-06T00:00:00"/>
        <d v="2025-03-12T00:00:00"/>
        <d v="2025-08-25T00:00:00"/>
        <d v="2025-06-15T00:00:00"/>
        <d v="2025-09-14T00:00:00"/>
        <d v="2025-10-14T00:00:00"/>
        <d v="2025-07-09T00:00:00"/>
        <d v="2025-01-18T00:00:00"/>
        <d v="2025-08-17T00:00:00"/>
        <d v="2025-09-04T00:00:00"/>
        <d v="2025-07-06T00:00:00"/>
        <d v="2025-04-04T00:00:00"/>
        <d v="2025-07-01T00:00:00"/>
        <d v="2025-08-09T00:00:00"/>
        <d v="2025-05-22T00:00:00"/>
        <d v="2025-07-16T00:00:00"/>
        <d v="2025-01-05T00:00:00"/>
        <d v="2025-12-16T00:00:00"/>
        <d v="2025-12-03T00:00:00"/>
        <d v="2025-10-19T00:00:00"/>
        <d v="2025-05-31T00:00:00"/>
      </sharedItems>
      <fieldGroup par="10" base="1">
        <rangePr groupBy="days" startDate="2025-01-03T00:00:00" endDate="2026-01-01T00:00:00"/>
        <groupItems count="368">
          <s v="&lt;03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4">
        <s v="Clothing"/>
        <s v="Electronics"/>
        <s v="Furniture"/>
        <s v="Office Supplies"/>
      </sharedItems>
    </cacheField>
    <cacheField name="Product" numFmtId="0">
      <sharedItems containsBlank="1" count="17">
        <s v="Shoes"/>
        <s v="Keyboard"/>
        <s v="Desk"/>
        <s v="Headphones"/>
        <s v="Stapler"/>
        <s v="Laptop"/>
        <s v="Jacket"/>
        <s v="Printer Paper"/>
        <s v="T-Shirt"/>
        <s v="Chair"/>
        <s v="Table"/>
        <s v="Notebook"/>
        <s v="Pen Set"/>
        <s v="Jeans"/>
        <s v="Bookshelf"/>
        <s v="Monitor"/>
        <m/>
      </sharedItems>
    </cacheField>
    <cacheField name="Customer" numFmtId="0">
      <sharedItems/>
    </cacheField>
    <cacheField name="Sales" numFmtId="0">
      <sharedItems containsSemiMixedTypes="0" containsString="0" containsNumber="1" minValue="12" maxValue="5131"/>
    </cacheField>
    <cacheField name="Quantity" numFmtId="0">
      <sharedItems containsSemiMixedTypes="0" containsString="0" containsNumber="1" containsInteger="1" minValue="1" maxValue="7"/>
    </cacheField>
    <cacheField name="Profit" numFmtId="2">
      <sharedItems containsSemiMixedTypes="0" containsString="0" containsNumber="1" minValue="2.2400000000000002" maxValue="2161.2800000000002"/>
    </cacheField>
    <cacheField name="Discount" numFmtId="10">
      <sharedItems containsString="0" containsBlank="1" containsNumber="1" minValue="0" maxValue="0.2" count="6">
        <n v="0.2"/>
        <n v="0.15"/>
        <n v="0.1"/>
        <n v="0"/>
        <n v="0.05"/>
        <m/>
      </sharedItems>
    </cacheField>
    <cacheField name="Months" numFmtId="0" databaseField="0">
      <fieldGroup base="1">
        <rangePr groupBy="months" startDate="2025-01-03T00:00:00" endDate="2026-01-01T00:00:00"/>
        <groupItems count="14">
          <s v="&lt;03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0001"/>
    <x v="0"/>
    <x v="0"/>
    <x v="0"/>
    <x v="0"/>
    <s v="CUST-088"/>
    <n v="344"/>
    <n v="5"/>
    <n v="140.31"/>
    <x v="0"/>
  </r>
  <r>
    <s v="ORD-0002"/>
    <x v="1"/>
    <x v="1"/>
    <x v="1"/>
    <x v="1"/>
    <s v="CUST-021"/>
    <n v="1889.55"/>
    <n v="3"/>
    <n v="371.47"/>
    <x v="1"/>
  </r>
  <r>
    <s v="ORD-0003"/>
    <x v="2"/>
    <x v="1"/>
    <x v="1"/>
    <x v="1"/>
    <s v="CUST-015"/>
    <n v="181.8"/>
    <n v="2"/>
    <n v="51.78"/>
    <x v="2"/>
  </r>
  <r>
    <s v="ORD-0004"/>
    <x v="3"/>
    <x v="0"/>
    <x v="2"/>
    <x v="2"/>
    <s v="CUST-021"/>
    <n v="2821"/>
    <n v="7"/>
    <n v="1234.07"/>
    <x v="3"/>
  </r>
  <r>
    <s v="ORD-0005"/>
    <x v="4"/>
    <x v="2"/>
    <x v="1"/>
    <x v="3"/>
    <s v="CUST-130"/>
    <n v="887.3"/>
    <n v="2"/>
    <n v="306.95"/>
    <x v="4"/>
  </r>
  <r>
    <s v="ORD-0006"/>
    <x v="5"/>
    <x v="1"/>
    <x v="3"/>
    <x v="4"/>
    <s v="CUST-132"/>
    <n v="321.3"/>
    <n v="7"/>
    <n v="65.7"/>
    <x v="2"/>
  </r>
  <r>
    <s v="ORD-0007"/>
    <x v="6"/>
    <x v="1"/>
    <x v="2"/>
    <x v="2"/>
    <s v="CUST-014"/>
    <n v="696"/>
    <n v="6"/>
    <n v="131"/>
    <x v="0"/>
  </r>
  <r>
    <s v="ORD-0008"/>
    <x v="7"/>
    <x v="1"/>
    <x v="0"/>
    <x v="0"/>
    <s v="CUST-124"/>
    <n v="302.39999999999998"/>
    <n v="7"/>
    <n v="113.92"/>
    <x v="0"/>
  </r>
  <r>
    <s v="ORD-0009"/>
    <x v="8"/>
    <x v="1"/>
    <x v="1"/>
    <x v="5"/>
    <s v="CUST-063"/>
    <n v="470"/>
    <n v="5"/>
    <n v="113.5"/>
    <x v="3"/>
  </r>
  <r>
    <s v="ORD-0010"/>
    <x v="9"/>
    <x v="3"/>
    <x v="0"/>
    <x v="6"/>
    <s v="CUST-041"/>
    <n v="159.30000000000001"/>
    <n v="1"/>
    <n v="68.5"/>
    <x v="2"/>
  </r>
  <r>
    <s v="ORD-0011"/>
    <x v="10"/>
    <x v="3"/>
    <x v="3"/>
    <x v="7"/>
    <s v="CUST-035"/>
    <n v="41.6"/>
    <n v="1"/>
    <n v="10.53"/>
    <x v="0"/>
  </r>
  <r>
    <s v="ORD-0012"/>
    <x v="11"/>
    <x v="0"/>
    <x v="1"/>
    <x v="3"/>
    <s v="CUST-137"/>
    <n v="2569.75"/>
    <n v="5"/>
    <n v="992.65"/>
    <x v="4"/>
  </r>
  <r>
    <s v="ORD-0013"/>
    <x v="12"/>
    <x v="2"/>
    <x v="0"/>
    <x v="6"/>
    <s v="CUST-143"/>
    <n v="123.2"/>
    <n v="2"/>
    <n v="38.520000000000003"/>
    <x v="0"/>
  </r>
  <r>
    <s v="ORD-0014"/>
    <x v="13"/>
    <x v="3"/>
    <x v="0"/>
    <x v="8"/>
    <s v="CUST-045"/>
    <n v="306"/>
    <n v="4"/>
    <n v="124.38"/>
    <x v="2"/>
  </r>
  <r>
    <s v="ORD-0015"/>
    <x v="14"/>
    <x v="1"/>
    <x v="2"/>
    <x v="9"/>
    <s v="CUST-092"/>
    <n v="1372.75"/>
    <n v="5"/>
    <n v="286.92"/>
    <x v="1"/>
  </r>
  <r>
    <s v="ORD-0016"/>
    <x v="15"/>
    <x v="0"/>
    <x v="1"/>
    <x v="3"/>
    <s v="CUST-103"/>
    <n v="1824"/>
    <n v="6"/>
    <n v="417.94"/>
    <x v="3"/>
  </r>
  <r>
    <s v="ORD-0017"/>
    <x v="16"/>
    <x v="3"/>
    <x v="2"/>
    <x v="10"/>
    <s v="CUST-096"/>
    <n v="1017.45"/>
    <n v="3"/>
    <n v="365.11"/>
    <x v="4"/>
  </r>
  <r>
    <s v="ORD-0018"/>
    <x v="17"/>
    <x v="2"/>
    <x v="3"/>
    <x v="11"/>
    <s v="CUST-081"/>
    <n v="60.8"/>
    <n v="4"/>
    <n v="15.67"/>
    <x v="4"/>
  </r>
  <r>
    <s v="ORD-0019"/>
    <x v="18"/>
    <x v="3"/>
    <x v="0"/>
    <x v="8"/>
    <s v="CUST-053"/>
    <n v="108.8"/>
    <n v="2"/>
    <n v="38.82"/>
    <x v="0"/>
  </r>
  <r>
    <s v="ORD-0020"/>
    <x v="19"/>
    <x v="3"/>
    <x v="3"/>
    <x v="12"/>
    <s v="CUST-024"/>
    <n v="318.60000000000002"/>
    <n v="6"/>
    <n v="111.57"/>
    <x v="2"/>
  </r>
  <r>
    <s v="ORD-0021"/>
    <x v="20"/>
    <x v="0"/>
    <x v="1"/>
    <x v="1"/>
    <s v="CUST-148"/>
    <n v="470.9"/>
    <n v="2"/>
    <n v="147.29"/>
    <x v="1"/>
  </r>
  <r>
    <s v="ORD-0022"/>
    <x v="21"/>
    <x v="0"/>
    <x v="3"/>
    <x v="7"/>
    <s v="CUST-082"/>
    <n v="81.599999999999994"/>
    <n v="4"/>
    <n v="16"/>
    <x v="1"/>
  </r>
  <r>
    <s v="ORD-0023"/>
    <x v="22"/>
    <x v="1"/>
    <x v="3"/>
    <x v="11"/>
    <s v="CUST-090"/>
    <n v="99.75"/>
    <n v="3"/>
    <n v="37.94"/>
    <x v="4"/>
  </r>
  <r>
    <s v="ORD-0024"/>
    <x v="23"/>
    <x v="0"/>
    <x v="3"/>
    <x v="11"/>
    <s v="CUST-009"/>
    <n v="17"/>
    <n v="4"/>
    <n v="5.09"/>
    <x v="1"/>
  </r>
  <r>
    <s v="ORD-0025"/>
    <x v="24"/>
    <x v="2"/>
    <x v="1"/>
    <x v="3"/>
    <s v="CUST-104"/>
    <n v="2685"/>
    <n v="3"/>
    <n v="742.81"/>
    <x v="3"/>
  </r>
  <r>
    <s v="ORD-0026"/>
    <x v="25"/>
    <x v="3"/>
    <x v="3"/>
    <x v="12"/>
    <s v="CUST-054"/>
    <n v="276.45"/>
    <n v="3"/>
    <n v="112.4"/>
    <x v="4"/>
  </r>
  <r>
    <s v="ORD-0027"/>
    <x v="26"/>
    <x v="0"/>
    <x v="0"/>
    <x v="0"/>
    <s v="CUST-145"/>
    <n v="328"/>
    <n v="5"/>
    <n v="131.76"/>
    <x v="0"/>
  </r>
  <r>
    <s v="ORD-0028"/>
    <x v="27"/>
    <x v="0"/>
    <x v="3"/>
    <x v="11"/>
    <s v="CUST-027"/>
    <n v="108.8"/>
    <n v="4"/>
    <n v="34.659999999999997"/>
    <x v="0"/>
  </r>
  <r>
    <s v="ORD-0029"/>
    <x v="28"/>
    <x v="1"/>
    <x v="2"/>
    <x v="9"/>
    <s v="CUST-147"/>
    <n v="1938"/>
    <n v="6"/>
    <n v="769.94"/>
    <x v="3"/>
  </r>
  <r>
    <s v="ORD-0030"/>
    <x v="15"/>
    <x v="2"/>
    <x v="3"/>
    <x v="7"/>
    <s v="CUST-024"/>
    <n v="77.599999999999994"/>
    <n v="1"/>
    <n v="16.41"/>
    <x v="0"/>
  </r>
  <r>
    <s v="ORD-0031"/>
    <x v="29"/>
    <x v="2"/>
    <x v="1"/>
    <x v="5"/>
    <s v="CUST-067"/>
    <n v="1560"/>
    <n v="6"/>
    <n v="670.26"/>
    <x v="3"/>
  </r>
  <r>
    <s v="ORD-0032"/>
    <x v="30"/>
    <x v="0"/>
    <x v="3"/>
    <x v="12"/>
    <s v="CUST-127"/>
    <n v="67.45"/>
    <n v="1"/>
    <n v="19.149999999999999"/>
    <x v="4"/>
  </r>
  <r>
    <s v="ORD-0033"/>
    <x v="31"/>
    <x v="2"/>
    <x v="0"/>
    <x v="13"/>
    <s v="CUST-026"/>
    <n v="315"/>
    <n v="2"/>
    <n v="81.459999999999994"/>
    <x v="2"/>
  </r>
  <r>
    <s v="ORD-0034"/>
    <x v="32"/>
    <x v="2"/>
    <x v="0"/>
    <x v="13"/>
    <s v="CUST-008"/>
    <n v="74"/>
    <n v="1"/>
    <n v="20.75"/>
    <x v="3"/>
  </r>
  <r>
    <s v="ORD-0035"/>
    <x v="33"/>
    <x v="3"/>
    <x v="3"/>
    <x v="12"/>
    <s v="CUST-125"/>
    <n v="378"/>
    <n v="6"/>
    <n v="122.58"/>
    <x v="2"/>
  </r>
  <r>
    <s v="ORD-0036"/>
    <x v="27"/>
    <x v="2"/>
    <x v="2"/>
    <x v="2"/>
    <s v="CUST-060"/>
    <n v="619.20000000000005"/>
    <n v="2"/>
    <n v="257.39999999999998"/>
    <x v="2"/>
  </r>
  <r>
    <s v="ORD-0037"/>
    <x v="34"/>
    <x v="1"/>
    <x v="3"/>
    <x v="4"/>
    <s v="CUST-013"/>
    <n v="441"/>
    <n v="5"/>
    <n v="122.55"/>
    <x v="2"/>
  </r>
  <r>
    <s v="ORD-0038"/>
    <x v="4"/>
    <x v="2"/>
    <x v="2"/>
    <x v="10"/>
    <s v="CUST-117"/>
    <n v="334.8"/>
    <n v="2"/>
    <n v="110.98"/>
    <x v="2"/>
  </r>
  <r>
    <s v="ORD-0039"/>
    <x v="35"/>
    <x v="1"/>
    <x v="2"/>
    <x v="14"/>
    <s v="CUST-126"/>
    <n v="2892.75"/>
    <n v="7"/>
    <n v="1179.55"/>
    <x v="4"/>
  </r>
  <r>
    <s v="ORD-0040"/>
    <x v="36"/>
    <x v="3"/>
    <x v="2"/>
    <x v="10"/>
    <s v="CUST-093"/>
    <n v="220.8"/>
    <n v="1"/>
    <n v="55.37"/>
    <x v="0"/>
  </r>
  <r>
    <s v="ORD-0041"/>
    <x v="36"/>
    <x v="0"/>
    <x v="0"/>
    <x v="6"/>
    <s v="CUST-094"/>
    <n v="320"/>
    <n v="4"/>
    <n v="133.97"/>
    <x v="0"/>
  </r>
  <r>
    <s v="ORD-0042"/>
    <x v="31"/>
    <x v="1"/>
    <x v="2"/>
    <x v="2"/>
    <s v="CUST-033"/>
    <n v="923.4"/>
    <n v="4"/>
    <n v="292.95999999999998"/>
    <x v="4"/>
  </r>
  <r>
    <s v="ORD-0043"/>
    <x v="37"/>
    <x v="3"/>
    <x v="2"/>
    <x v="2"/>
    <s v="CUST-147"/>
    <n v="1228.25"/>
    <n v="5"/>
    <n v="537.69000000000005"/>
    <x v="1"/>
  </r>
  <r>
    <s v="ORD-0044"/>
    <x v="23"/>
    <x v="0"/>
    <x v="2"/>
    <x v="10"/>
    <s v="CUST-084"/>
    <n v="40.85"/>
    <n v="1"/>
    <n v="18.09"/>
    <x v="4"/>
  </r>
  <r>
    <s v="ORD-0045"/>
    <x v="17"/>
    <x v="1"/>
    <x v="3"/>
    <x v="4"/>
    <s v="CUST-067"/>
    <n v="59.2"/>
    <n v="2"/>
    <n v="17.920000000000002"/>
    <x v="0"/>
  </r>
  <r>
    <s v="ORD-0046"/>
    <x v="29"/>
    <x v="0"/>
    <x v="1"/>
    <x v="5"/>
    <s v="CUST-035"/>
    <n v="207.4"/>
    <n v="2"/>
    <n v="87.69"/>
    <x v="1"/>
  </r>
  <r>
    <s v="ORD-0047"/>
    <x v="38"/>
    <x v="2"/>
    <x v="0"/>
    <x v="8"/>
    <s v="CUST-135"/>
    <n v="319.2"/>
    <n v="2"/>
    <n v="114.28"/>
    <x v="4"/>
  </r>
  <r>
    <s v="ORD-0048"/>
    <x v="39"/>
    <x v="1"/>
    <x v="3"/>
    <x v="12"/>
    <s v="CUST-138"/>
    <n v="200"/>
    <n v="5"/>
    <n v="46.61"/>
    <x v="3"/>
  </r>
  <r>
    <s v="ORD-0049"/>
    <x v="40"/>
    <x v="0"/>
    <x v="1"/>
    <x v="5"/>
    <s v="CUST-037"/>
    <n v="2304"/>
    <n v="3"/>
    <n v="553.80999999999995"/>
    <x v="3"/>
  </r>
  <r>
    <s v="ORD-0050"/>
    <x v="41"/>
    <x v="1"/>
    <x v="3"/>
    <x v="11"/>
    <s v="CUST-086"/>
    <n v="238"/>
    <n v="7"/>
    <n v="72.760000000000005"/>
    <x v="3"/>
  </r>
  <r>
    <s v="ORD-0051"/>
    <x v="42"/>
    <x v="0"/>
    <x v="1"/>
    <x v="3"/>
    <s v="CUST-028"/>
    <n v="768"/>
    <n v="3"/>
    <n v="169.94"/>
    <x v="3"/>
  </r>
  <r>
    <s v="ORD-0052"/>
    <x v="7"/>
    <x v="0"/>
    <x v="2"/>
    <x v="14"/>
    <s v="CUST-144"/>
    <n v="1461.6"/>
    <n v="4"/>
    <n v="419.98"/>
    <x v="2"/>
  </r>
  <r>
    <s v="ORD-0053"/>
    <x v="0"/>
    <x v="2"/>
    <x v="1"/>
    <x v="3"/>
    <s v="CUST-075"/>
    <n v="3667"/>
    <n v="5"/>
    <n v="1213"/>
    <x v="4"/>
  </r>
  <r>
    <s v="ORD-0054"/>
    <x v="43"/>
    <x v="3"/>
    <x v="2"/>
    <x v="14"/>
    <s v="CUST-005"/>
    <n v="361.6"/>
    <n v="4"/>
    <n v="140.99"/>
    <x v="0"/>
  </r>
  <r>
    <s v="ORD-0055"/>
    <x v="44"/>
    <x v="2"/>
    <x v="1"/>
    <x v="5"/>
    <s v="CUST-045"/>
    <n v="2131.8000000000002"/>
    <n v="6"/>
    <n v="823.08"/>
    <x v="1"/>
  </r>
  <r>
    <s v="ORD-0056"/>
    <x v="45"/>
    <x v="3"/>
    <x v="3"/>
    <x v="4"/>
    <s v="CUST-090"/>
    <n v="331.5"/>
    <n v="6"/>
    <n v="99.2"/>
    <x v="1"/>
  </r>
  <r>
    <s v="ORD-0057"/>
    <x v="28"/>
    <x v="0"/>
    <x v="0"/>
    <x v="6"/>
    <s v="CUST-105"/>
    <n v="883.5"/>
    <n v="6"/>
    <n v="220.82"/>
    <x v="4"/>
  </r>
  <r>
    <s v="ORD-0058"/>
    <x v="46"/>
    <x v="3"/>
    <x v="0"/>
    <x v="8"/>
    <s v="CUST-044"/>
    <n v="381"/>
    <n v="3"/>
    <n v="148.44999999999999"/>
    <x v="3"/>
  </r>
  <r>
    <s v="ORD-0059"/>
    <x v="47"/>
    <x v="0"/>
    <x v="1"/>
    <x v="1"/>
    <s v="CUST-147"/>
    <n v="4023"/>
    <n v="5"/>
    <n v="812"/>
    <x v="2"/>
  </r>
  <r>
    <s v="ORD-0060"/>
    <x v="48"/>
    <x v="1"/>
    <x v="3"/>
    <x v="11"/>
    <s v="CUST-012"/>
    <n v="36"/>
    <n v="2"/>
    <n v="10.1"/>
    <x v="3"/>
  </r>
  <r>
    <s v="ORD-0061"/>
    <x v="49"/>
    <x v="1"/>
    <x v="2"/>
    <x v="10"/>
    <s v="CUST-060"/>
    <n v="1111.5"/>
    <n v="6"/>
    <n v="443.72"/>
    <x v="4"/>
  </r>
  <r>
    <s v="ORD-0062"/>
    <x v="50"/>
    <x v="2"/>
    <x v="2"/>
    <x v="10"/>
    <s v="CUST-141"/>
    <n v="1068"/>
    <n v="4"/>
    <n v="399.93"/>
    <x v="3"/>
  </r>
  <r>
    <s v="ORD-0063"/>
    <x v="51"/>
    <x v="3"/>
    <x v="2"/>
    <x v="14"/>
    <s v="CUST-109"/>
    <n v="605"/>
    <n v="5"/>
    <n v="203.93"/>
    <x v="3"/>
  </r>
  <r>
    <s v="ORD-0064"/>
    <x v="33"/>
    <x v="2"/>
    <x v="1"/>
    <x v="3"/>
    <s v="CUST-086"/>
    <n v="407.7"/>
    <n v="1"/>
    <n v="118.06"/>
    <x v="2"/>
  </r>
  <r>
    <s v="ORD-0065"/>
    <x v="52"/>
    <x v="1"/>
    <x v="0"/>
    <x v="6"/>
    <s v="CUST-095"/>
    <n v="89.6"/>
    <n v="1"/>
    <n v="38.96"/>
    <x v="0"/>
  </r>
  <r>
    <s v="ORD-0066"/>
    <x v="53"/>
    <x v="2"/>
    <x v="1"/>
    <x v="15"/>
    <s v="CUST-078"/>
    <n v="1470.6"/>
    <n v="3"/>
    <n v="324.41000000000003"/>
    <x v="4"/>
  </r>
  <r>
    <s v="ORD-0067"/>
    <x v="54"/>
    <x v="3"/>
    <x v="1"/>
    <x v="15"/>
    <s v="CUST-092"/>
    <n v="130"/>
    <n v="1"/>
    <n v="34.92"/>
    <x v="3"/>
  </r>
  <r>
    <s v="ORD-0068"/>
    <x v="55"/>
    <x v="2"/>
    <x v="0"/>
    <x v="0"/>
    <s v="CUST-054"/>
    <n v="1108.8"/>
    <n v="7"/>
    <n v="343.24"/>
    <x v="2"/>
  </r>
  <r>
    <s v="ORD-0069"/>
    <x v="13"/>
    <x v="0"/>
    <x v="3"/>
    <x v="11"/>
    <s v="CUST-103"/>
    <n v="100.8"/>
    <n v="6"/>
    <n v="28.48"/>
    <x v="0"/>
  </r>
  <r>
    <s v="ORD-0070"/>
    <x v="34"/>
    <x v="2"/>
    <x v="2"/>
    <x v="10"/>
    <s v="CUST-079"/>
    <n v="1198.8"/>
    <n v="4"/>
    <n v="510"/>
    <x v="2"/>
  </r>
  <r>
    <s v="ORD-0071"/>
    <x v="56"/>
    <x v="2"/>
    <x v="3"/>
    <x v="12"/>
    <s v="CUST-074"/>
    <n v="50.4"/>
    <n v="7"/>
    <n v="20.68"/>
    <x v="0"/>
  </r>
  <r>
    <s v="ORD-0072"/>
    <x v="57"/>
    <x v="0"/>
    <x v="1"/>
    <x v="1"/>
    <s v="CUST-115"/>
    <n v="562.4"/>
    <n v="4"/>
    <n v="203.16"/>
    <x v="4"/>
  </r>
  <r>
    <s v="ORD-0073"/>
    <x v="56"/>
    <x v="2"/>
    <x v="0"/>
    <x v="8"/>
    <s v="CUST-096"/>
    <n v="648.54999999999995"/>
    <n v="7"/>
    <n v="260"/>
    <x v="1"/>
  </r>
  <r>
    <s v="ORD-0074"/>
    <x v="58"/>
    <x v="3"/>
    <x v="0"/>
    <x v="6"/>
    <s v="CUST-061"/>
    <n v="337.5"/>
    <n v="5"/>
    <n v="76.989999999999995"/>
    <x v="2"/>
  </r>
  <r>
    <s v="ORD-0075"/>
    <x v="6"/>
    <x v="2"/>
    <x v="2"/>
    <x v="9"/>
    <s v="CUST-073"/>
    <n v="980.4"/>
    <n v="6"/>
    <n v="407.1"/>
    <x v="4"/>
  </r>
  <r>
    <s v="ORD-0076"/>
    <x v="59"/>
    <x v="2"/>
    <x v="2"/>
    <x v="9"/>
    <s v="CUST-026"/>
    <n v="1593.9"/>
    <n v="7"/>
    <n v="320.95"/>
    <x v="2"/>
  </r>
  <r>
    <s v="ORD-0077"/>
    <x v="60"/>
    <x v="1"/>
    <x v="3"/>
    <x v="11"/>
    <s v="CUST-130"/>
    <n v="57"/>
    <n v="1"/>
    <n v="13.95"/>
    <x v="4"/>
  </r>
  <r>
    <s v="ORD-0078"/>
    <x v="61"/>
    <x v="0"/>
    <x v="1"/>
    <x v="15"/>
    <s v="CUST-018"/>
    <n v="4201.2"/>
    <n v="6"/>
    <n v="875.09"/>
    <x v="2"/>
  </r>
  <r>
    <s v="ORD-0079"/>
    <x v="62"/>
    <x v="0"/>
    <x v="2"/>
    <x v="2"/>
    <s v="CUST-086"/>
    <n v="658.35"/>
    <n v="3"/>
    <n v="196.01"/>
    <x v="4"/>
  </r>
  <r>
    <s v="ORD-0080"/>
    <x v="63"/>
    <x v="2"/>
    <x v="2"/>
    <x v="2"/>
    <s v="CUST-109"/>
    <n v="736"/>
    <n v="4"/>
    <n v="196.25"/>
    <x v="3"/>
  </r>
  <r>
    <s v="ORD-0081"/>
    <x v="64"/>
    <x v="2"/>
    <x v="2"/>
    <x v="14"/>
    <s v="CUST-101"/>
    <n v="292"/>
    <n v="4"/>
    <n v="86.9"/>
    <x v="3"/>
  </r>
  <r>
    <s v="ORD-0082"/>
    <x v="65"/>
    <x v="2"/>
    <x v="2"/>
    <x v="10"/>
    <s v="CUST-070"/>
    <n v="424"/>
    <n v="2"/>
    <n v="83.91"/>
    <x v="0"/>
  </r>
  <r>
    <s v="ORD-0083"/>
    <x v="66"/>
    <x v="0"/>
    <x v="0"/>
    <x v="0"/>
    <s v="CUST-040"/>
    <n v="304"/>
    <n v="4"/>
    <n v="130.21"/>
    <x v="3"/>
  </r>
  <r>
    <s v="ORD-0084"/>
    <x v="67"/>
    <x v="2"/>
    <x v="1"/>
    <x v="1"/>
    <s v="CUST-079"/>
    <n v="595"/>
    <n v="7"/>
    <n v="188.91"/>
    <x v="3"/>
  </r>
  <r>
    <s v="ORD-0085"/>
    <x v="68"/>
    <x v="1"/>
    <x v="0"/>
    <x v="0"/>
    <s v="CUST-020"/>
    <n v="110.2"/>
    <n v="2"/>
    <n v="39.96"/>
    <x v="4"/>
  </r>
  <r>
    <s v="ORD-0086"/>
    <x v="69"/>
    <x v="2"/>
    <x v="1"/>
    <x v="1"/>
    <s v="CUST-003"/>
    <n v="448"/>
    <n v="7"/>
    <n v="140.38"/>
    <x v="0"/>
  </r>
  <r>
    <s v="ORD-0087"/>
    <x v="70"/>
    <x v="3"/>
    <x v="1"/>
    <x v="15"/>
    <s v="CUST-084"/>
    <n v="151.30000000000001"/>
    <n v="2"/>
    <n v="59.84"/>
    <x v="1"/>
  </r>
  <r>
    <s v="ORD-0088"/>
    <x v="71"/>
    <x v="2"/>
    <x v="1"/>
    <x v="3"/>
    <s v="CUST-062"/>
    <n v="1836"/>
    <n v="5"/>
    <n v="653.26"/>
    <x v="2"/>
  </r>
  <r>
    <s v="ORD-0089"/>
    <x v="72"/>
    <x v="2"/>
    <x v="3"/>
    <x v="4"/>
    <s v="CUST-040"/>
    <n v="158"/>
    <n v="2"/>
    <n v="62.35"/>
    <x v="3"/>
  </r>
  <r>
    <s v="ORD-0090"/>
    <x v="73"/>
    <x v="2"/>
    <x v="3"/>
    <x v="12"/>
    <s v="CUST-005"/>
    <n v="61.2"/>
    <n v="4"/>
    <n v="24.84"/>
    <x v="1"/>
  </r>
  <r>
    <s v="ORD-0091"/>
    <x v="74"/>
    <x v="1"/>
    <x v="0"/>
    <x v="6"/>
    <s v="CUST-039"/>
    <n v="700.8"/>
    <n v="6"/>
    <n v="204.04"/>
    <x v="0"/>
  </r>
  <r>
    <s v="ORD-0092"/>
    <x v="75"/>
    <x v="0"/>
    <x v="3"/>
    <x v="12"/>
    <s v="CUST-053"/>
    <n v="81"/>
    <n v="3"/>
    <n v="31.37"/>
    <x v="3"/>
  </r>
  <r>
    <s v="ORD-0093"/>
    <x v="76"/>
    <x v="0"/>
    <x v="3"/>
    <x v="4"/>
    <s v="CUST-033"/>
    <n v="191.7"/>
    <n v="3"/>
    <n v="68.930000000000007"/>
    <x v="2"/>
  </r>
  <r>
    <s v="ORD-0094"/>
    <x v="77"/>
    <x v="3"/>
    <x v="3"/>
    <x v="12"/>
    <s v="CUST-086"/>
    <n v="427"/>
    <n v="7"/>
    <n v="110.64"/>
    <x v="3"/>
  </r>
  <r>
    <s v="ORD-0095"/>
    <x v="78"/>
    <x v="2"/>
    <x v="2"/>
    <x v="2"/>
    <s v="CUST-015"/>
    <n v="1476"/>
    <n v="5"/>
    <n v="620.11"/>
    <x v="0"/>
  </r>
  <r>
    <s v="ORD-0096"/>
    <x v="79"/>
    <x v="0"/>
    <x v="1"/>
    <x v="1"/>
    <s v="CUST-036"/>
    <n v="944"/>
    <n v="5"/>
    <n v="241.28"/>
    <x v="0"/>
  </r>
  <r>
    <s v="ORD-0097"/>
    <x v="6"/>
    <x v="2"/>
    <x v="2"/>
    <x v="14"/>
    <s v="CUST-104"/>
    <n v="532.95000000000005"/>
    <n v="3"/>
    <n v="103.52"/>
    <x v="4"/>
  </r>
  <r>
    <s v="ORD-0098"/>
    <x v="80"/>
    <x v="2"/>
    <x v="2"/>
    <x v="2"/>
    <s v="CUST-120"/>
    <n v="121.55"/>
    <n v="1"/>
    <n v="51.34"/>
    <x v="1"/>
  </r>
  <r>
    <s v="ORD-0099"/>
    <x v="74"/>
    <x v="2"/>
    <x v="1"/>
    <x v="1"/>
    <s v="CUST-011"/>
    <n v="1165.5"/>
    <n v="7"/>
    <n v="292.73"/>
    <x v="2"/>
  </r>
  <r>
    <s v="ORD-0100"/>
    <x v="81"/>
    <x v="0"/>
    <x v="0"/>
    <x v="8"/>
    <s v="CUST-143"/>
    <n v="624"/>
    <n v="6"/>
    <n v="224.84"/>
    <x v="3"/>
  </r>
  <r>
    <s v="ORD-0101"/>
    <x v="82"/>
    <x v="2"/>
    <x v="1"/>
    <x v="3"/>
    <s v="CUST-090"/>
    <n v="388"/>
    <n v="1"/>
    <n v="162.63"/>
    <x v="3"/>
  </r>
  <r>
    <s v="ORD-0102"/>
    <x v="83"/>
    <x v="0"/>
    <x v="0"/>
    <x v="13"/>
    <s v="CUST-025"/>
    <n v="189"/>
    <n v="2"/>
    <n v="83.37"/>
    <x v="2"/>
  </r>
  <r>
    <s v="ORD-0103"/>
    <x v="65"/>
    <x v="3"/>
    <x v="0"/>
    <x v="0"/>
    <s v="CUST-114"/>
    <n v="840"/>
    <n v="6"/>
    <n v="246.32"/>
    <x v="0"/>
  </r>
  <r>
    <s v="ORD-0104"/>
    <x v="10"/>
    <x v="2"/>
    <x v="1"/>
    <x v="5"/>
    <s v="CUST-071"/>
    <n v="969.85"/>
    <n v="7"/>
    <n v="296.32"/>
    <x v="1"/>
  </r>
  <r>
    <s v="ORD-0105"/>
    <x v="84"/>
    <x v="2"/>
    <x v="1"/>
    <x v="1"/>
    <s v="CUST-049"/>
    <n v="1323"/>
    <n v="5"/>
    <n v="470.55"/>
    <x v="2"/>
  </r>
  <r>
    <s v="ORD-0106"/>
    <x v="85"/>
    <x v="3"/>
    <x v="1"/>
    <x v="5"/>
    <s v="CUST-113"/>
    <n v="1338"/>
    <n v="6"/>
    <n v="321.93"/>
    <x v="3"/>
  </r>
  <r>
    <s v="ORD-0107"/>
    <x v="86"/>
    <x v="1"/>
    <x v="2"/>
    <x v="2"/>
    <s v="CUST-087"/>
    <n v="2289.6"/>
    <n v="6"/>
    <n v="799.54"/>
    <x v="2"/>
  </r>
  <r>
    <s v="ORD-0108"/>
    <x v="19"/>
    <x v="2"/>
    <x v="0"/>
    <x v="0"/>
    <s v="CUST-072"/>
    <n v="44"/>
    <n v="2"/>
    <n v="17.16"/>
    <x v="3"/>
  </r>
  <r>
    <s v="ORD-0109"/>
    <x v="87"/>
    <x v="3"/>
    <x v="2"/>
    <x v="9"/>
    <s v="CUST-032"/>
    <n v="704.9"/>
    <n v="7"/>
    <n v="163.94"/>
    <x v="4"/>
  </r>
  <r>
    <s v="ORD-0110"/>
    <x v="88"/>
    <x v="2"/>
    <x v="3"/>
    <x v="12"/>
    <s v="CUST-085"/>
    <n v="282.14999999999998"/>
    <n v="3"/>
    <n v="125.98"/>
    <x v="4"/>
  </r>
  <r>
    <s v="ORD-0111"/>
    <x v="89"/>
    <x v="3"/>
    <x v="0"/>
    <x v="0"/>
    <s v="CUST-130"/>
    <n v="480"/>
    <n v="5"/>
    <n v="110.06"/>
    <x v="3"/>
  </r>
  <r>
    <s v="ORD-0112"/>
    <x v="90"/>
    <x v="1"/>
    <x v="0"/>
    <x v="6"/>
    <s v="CUST-086"/>
    <n v="133"/>
    <n v="7"/>
    <n v="44.19"/>
    <x v="3"/>
  </r>
  <r>
    <s v="ORD-0113"/>
    <x v="91"/>
    <x v="3"/>
    <x v="3"/>
    <x v="4"/>
    <s v="CUST-009"/>
    <n v="63"/>
    <n v="1"/>
    <n v="20.100000000000001"/>
    <x v="3"/>
  </r>
  <r>
    <s v="ORD-0114"/>
    <x v="92"/>
    <x v="3"/>
    <x v="3"/>
    <x v="12"/>
    <s v="CUST-037"/>
    <n v="38"/>
    <n v="5"/>
    <n v="11.71"/>
    <x v="4"/>
  </r>
  <r>
    <s v="ORD-0115"/>
    <x v="93"/>
    <x v="3"/>
    <x v="0"/>
    <x v="13"/>
    <s v="CUST-122"/>
    <n v="106.4"/>
    <n v="2"/>
    <n v="31.96"/>
    <x v="4"/>
  </r>
  <r>
    <s v="ORD-0116"/>
    <x v="55"/>
    <x v="2"/>
    <x v="3"/>
    <x v="7"/>
    <s v="CUST-053"/>
    <n v="157.5"/>
    <n v="5"/>
    <n v="45.47"/>
    <x v="2"/>
  </r>
  <r>
    <s v="ORD-0117"/>
    <x v="94"/>
    <x v="2"/>
    <x v="0"/>
    <x v="13"/>
    <s v="CUST-051"/>
    <n v="646"/>
    <n v="5"/>
    <n v="261.7"/>
    <x v="4"/>
  </r>
  <r>
    <s v="ORD-0118"/>
    <x v="95"/>
    <x v="0"/>
    <x v="1"/>
    <x v="1"/>
    <s v="CUST-039"/>
    <n v="2357.1"/>
    <n v="3"/>
    <n v="834.34"/>
    <x v="2"/>
  </r>
  <r>
    <s v="ORD-0119"/>
    <x v="96"/>
    <x v="1"/>
    <x v="3"/>
    <x v="7"/>
    <s v="CUST-148"/>
    <n v="134.4"/>
    <n v="6"/>
    <n v="42.93"/>
    <x v="0"/>
  </r>
  <r>
    <s v="ORD-0120"/>
    <x v="97"/>
    <x v="2"/>
    <x v="0"/>
    <x v="6"/>
    <s v="CUST-040"/>
    <n v="467.4"/>
    <n v="4"/>
    <n v="150.47999999999999"/>
    <x v="4"/>
  </r>
  <r>
    <s v="ORD-0121"/>
    <x v="98"/>
    <x v="3"/>
    <x v="1"/>
    <x v="5"/>
    <s v="CUST-108"/>
    <n v="140"/>
    <n v="1"/>
    <n v="53.69"/>
    <x v="3"/>
  </r>
  <r>
    <s v="ORD-0122"/>
    <x v="71"/>
    <x v="2"/>
    <x v="3"/>
    <x v="7"/>
    <s v="CUST-017"/>
    <n v="110.4"/>
    <n v="6"/>
    <n v="46.95"/>
    <x v="0"/>
  </r>
  <r>
    <s v="ORD-0123"/>
    <x v="99"/>
    <x v="2"/>
    <x v="2"/>
    <x v="9"/>
    <s v="CUST-118"/>
    <n v="2154.6"/>
    <n v="7"/>
    <n v="543.6"/>
    <x v="2"/>
  </r>
  <r>
    <s v="ORD-0124"/>
    <x v="100"/>
    <x v="3"/>
    <x v="3"/>
    <x v="12"/>
    <s v="CUST-047"/>
    <n v="17.100000000000001"/>
    <n v="1"/>
    <n v="3.13"/>
    <x v="2"/>
  </r>
  <r>
    <s v="ORD-0125"/>
    <x v="101"/>
    <x v="2"/>
    <x v="3"/>
    <x v="12"/>
    <s v="CUST-007"/>
    <n v="591.85"/>
    <n v="7"/>
    <n v="216.34"/>
    <x v="4"/>
  </r>
  <r>
    <s v="ORD-0126"/>
    <x v="102"/>
    <x v="2"/>
    <x v="1"/>
    <x v="3"/>
    <s v="CUST-014"/>
    <n v="1450.8"/>
    <n v="2"/>
    <n v="527.86"/>
    <x v="2"/>
  </r>
  <r>
    <s v="ORD-0127"/>
    <x v="103"/>
    <x v="0"/>
    <x v="0"/>
    <x v="0"/>
    <s v="CUST-108"/>
    <n v="141.6"/>
    <n v="3"/>
    <n v="43.45"/>
    <x v="5"/>
  </r>
  <r>
    <s v="ORD-0128"/>
    <x v="104"/>
    <x v="3"/>
    <x v="0"/>
    <x v="6"/>
    <s v="CUST-055"/>
    <n v="158.65"/>
    <n v="1"/>
    <n v="49.11"/>
    <x v="4"/>
  </r>
  <r>
    <s v="ORD-0129"/>
    <x v="105"/>
    <x v="0"/>
    <x v="0"/>
    <x v="13"/>
    <s v="CUST-039"/>
    <n v="51.3"/>
    <n v="2"/>
    <n v="10.08"/>
    <x v="4"/>
  </r>
  <r>
    <s v="ORD-0130"/>
    <x v="106"/>
    <x v="3"/>
    <x v="2"/>
    <x v="10"/>
    <s v="CUST-103"/>
    <n v="1517.25"/>
    <n v="5"/>
    <n v="279.63"/>
    <x v="1"/>
  </r>
  <r>
    <s v="ORD-0131"/>
    <x v="107"/>
    <x v="2"/>
    <x v="3"/>
    <x v="11"/>
    <s v="CUST-073"/>
    <n v="32.299999999999997"/>
    <n v="1"/>
    <n v="11.95"/>
    <x v="4"/>
  </r>
  <r>
    <s v="ORD-0132"/>
    <x v="108"/>
    <x v="0"/>
    <x v="0"/>
    <x v="8"/>
    <s v="CUST-063"/>
    <n v="146.30000000000001"/>
    <n v="1"/>
    <n v="34.31"/>
    <x v="4"/>
  </r>
  <r>
    <s v="ORD-0133"/>
    <x v="109"/>
    <x v="1"/>
    <x v="2"/>
    <x v="10"/>
    <s v="CUST-093"/>
    <n v="948.6"/>
    <n v="3"/>
    <n v="410.23"/>
    <x v="1"/>
  </r>
  <r>
    <s v="ORD-0134"/>
    <x v="48"/>
    <x v="1"/>
    <x v="0"/>
    <x v="13"/>
    <s v="CUST-006"/>
    <n v="418"/>
    <n v="5"/>
    <n v="183.95"/>
    <x v="4"/>
  </r>
  <r>
    <s v="ORD-0135"/>
    <x v="110"/>
    <x v="3"/>
    <x v="1"/>
    <x v="5"/>
    <s v="CUST-062"/>
    <n v="718.2"/>
    <n v="6"/>
    <n v="221.38"/>
    <x v="4"/>
  </r>
  <r>
    <s v="ORD-0136"/>
    <x v="111"/>
    <x v="3"/>
    <x v="1"/>
    <x v="1"/>
    <s v="CUST-011"/>
    <n v="717"/>
    <n v="3"/>
    <n v="149.4"/>
    <x v="3"/>
  </r>
  <r>
    <s v="ORD-0137"/>
    <x v="2"/>
    <x v="2"/>
    <x v="1"/>
    <x v="1"/>
    <s v="CUST-040"/>
    <n v="2142"/>
    <n v="3"/>
    <n v="471.04"/>
    <x v="3"/>
  </r>
  <r>
    <s v="ORD-0138"/>
    <x v="49"/>
    <x v="3"/>
    <x v="1"/>
    <x v="5"/>
    <s v="CUST-037"/>
    <n v="823.5"/>
    <n v="3"/>
    <n v="209.73"/>
    <x v="2"/>
  </r>
  <r>
    <s v="ORD-0139"/>
    <x v="20"/>
    <x v="0"/>
    <x v="3"/>
    <x v="4"/>
    <s v="CUST-067"/>
    <n v="176"/>
    <n v="5"/>
    <n v="56.36"/>
    <x v="0"/>
  </r>
  <r>
    <s v="ORD-0140"/>
    <x v="58"/>
    <x v="2"/>
    <x v="3"/>
    <x v="4"/>
    <s v="CUST-059"/>
    <n v="18"/>
    <n v="2"/>
    <n v="3.88"/>
    <x v="2"/>
  </r>
  <r>
    <s v="ORD-0141"/>
    <x v="112"/>
    <x v="0"/>
    <x v="0"/>
    <x v="0"/>
    <s v="CUST-007"/>
    <n v="47.2"/>
    <n v="1"/>
    <n v="12.57"/>
    <x v="0"/>
  </r>
  <r>
    <s v="ORD-0142"/>
    <x v="84"/>
    <x v="0"/>
    <x v="1"/>
    <x v="3"/>
    <s v="CUST-082"/>
    <n v="3990"/>
    <n v="5"/>
    <n v="912.17"/>
    <x v="4"/>
  </r>
  <r>
    <s v="ORD-0143"/>
    <x v="95"/>
    <x v="2"/>
    <x v="3"/>
    <x v="12"/>
    <s v="CUST-017"/>
    <n v="336"/>
    <n v="6"/>
    <n v="95.23"/>
    <x v="0"/>
  </r>
  <r>
    <s v="ORD-0144"/>
    <x v="113"/>
    <x v="2"/>
    <x v="3"/>
    <x v="7"/>
    <s v="CUST-063"/>
    <n v="70.2"/>
    <n v="2"/>
    <n v="17.170000000000002"/>
    <x v="2"/>
  </r>
  <r>
    <s v="ORD-0145"/>
    <x v="114"/>
    <x v="1"/>
    <x v="3"/>
    <x v="4"/>
    <s v="CUST-017"/>
    <n v="428.4"/>
    <n v="7"/>
    <n v="113.21"/>
    <x v="1"/>
  </r>
  <r>
    <s v="ORD-0146"/>
    <x v="85"/>
    <x v="2"/>
    <x v="3"/>
    <x v="12"/>
    <s v="CUST-125"/>
    <n v="81.7"/>
    <n v="1"/>
    <n v="14.92"/>
    <x v="4"/>
  </r>
  <r>
    <s v="ORD-0147"/>
    <x v="115"/>
    <x v="3"/>
    <x v="3"/>
    <x v="7"/>
    <s v="CUST-029"/>
    <n v="373.5"/>
    <n v="5"/>
    <n v="142.61000000000001"/>
    <x v="2"/>
  </r>
  <r>
    <s v="ORD-0148"/>
    <x v="54"/>
    <x v="3"/>
    <x v="3"/>
    <x v="11"/>
    <s v="CUST-084"/>
    <n v="79.2"/>
    <n v="3"/>
    <n v="29.26"/>
    <x v="0"/>
  </r>
  <r>
    <s v="ORD-0149"/>
    <x v="116"/>
    <x v="1"/>
    <x v="2"/>
    <x v="14"/>
    <s v="CUST-101"/>
    <n v="958.8"/>
    <n v="3"/>
    <n v="242.15"/>
    <x v="1"/>
  </r>
  <r>
    <s v="ORD-0150"/>
    <x v="76"/>
    <x v="3"/>
    <x v="0"/>
    <x v="0"/>
    <s v="CUST-064"/>
    <n v="826.5"/>
    <n v="6"/>
    <n v="172.4"/>
    <x v="4"/>
  </r>
  <r>
    <s v="ORD-0151"/>
    <x v="53"/>
    <x v="2"/>
    <x v="1"/>
    <x v="5"/>
    <s v="CUST-053"/>
    <n v="2941"/>
    <n v="4"/>
    <n v="1176.1300000000001"/>
    <x v="1"/>
  </r>
  <r>
    <s v="ORD-0152"/>
    <x v="117"/>
    <x v="3"/>
    <x v="3"/>
    <x v="7"/>
    <s v="CUST-131"/>
    <n v="247.35"/>
    <n v="3"/>
    <n v="109.14"/>
    <x v="1"/>
  </r>
  <r>
    <s v="ORD-0153"/>
    <x v="118"/>
    <x v="3"/>
    <x v="3"/>
    <x v="12"/>
    <s v="CUST-117"/>
    <n v="523.6"/>
    <n v="7"/>
    <n v="156.68"/>
    <x v="1"/>
  </r>
  <r>
    <s v="ORD-0154"/>
    <x v="25"/>
    <x v="3"/>
    <x v="2"/>
    <x v="10"/>
    <s v="CUST-095"/>
    <n v="695.4"/>
    <n v="3"/>
    <n v="185.17"/>
    <x v="4"/>
  </r>
  <r>
    <s v="ORD-0155"/>
    <x v="87"/>
    <x v="2"/>
    <x v="2"/>
    <x v="10"/>
    <s v="CUST-145"/>
    <n v="691.2"/>
    <n v="3"/>
    <n v="221.37"/>
    <x v="2"/>
  </r>
  <r>
    <s v="ORD-0156"/>
    <x v="119"/>
    <x v="1"/>
    <x v="3"/>
    <x v="11"/>
    <s v="CUST-097"/>
    <n v="459"/>
    <n v="6"/>
    <n v="119.49"/>
    <x v="1"/>
  </r>
  <r>
    <s v="ORD-0157"/>
    <x v="102"/>
    <x v="3"/>
    <x v="2"/>
    <x v="9"/>
    <s v="CUST-103"/>
    <n v="385.05"/>
    <n v="1"/>
    <n v="136.07"/>
    <x v="1"/>
  </r>
  <r>
    <s v="ORD-0158"/>
    <x v="28"/>
    <x v="0"/>
    <x v="2"/>
    <x v="2"/>
    <s v="CUST-123"/>
    <n v="290"/>
    <n v="2"/>
    <n v="55.99"/>
    <x v="3"/>
  </r>
  <r>
    <s v="ORD-0159"/>
    <x v="120"/>
    <x v="3"/>
    <x v="2"/>
    <x v="9"/>
    <s v="CUST-092"/>
    <n v="2268.6"/>
    <n v="6"/>
    <n v="448.04"/>
    <x v="4"/>
  </r>
  <r>
    <s v="ORD-0160"/>
    <x v="121"/>
    <x v="3"/>
    <x v="2"/>
    <x v="10"/>
    <s v="CUST-127"/>
    <n v="1566"/>
    <n v="6"/>
    <n v="326.35000000000002"/>
    <x v="2"/>
  </r>
  <r>
    <s v="ORD-0161"/>
    <x v="122"/>
    <x v="1"/>
    <x v="0"/>
    <x v="6"/>
    <s v="CUST-141"/>
    <n v="26.6"/>
    <n v="1"/>
    <n v="11.54"/>
    <x v="4"/>
  </r>
  <r>
    <s v="ORD-0162"/>
    <x v="103"/>
    <x v="1"/>
    <x v="1"/>
    <x v="5"/>
    <s v="CUST-051"/>
    <n v="482.4"/>
    <n v="3"/>
    <n v="114.22"/>
    <x v="0"/>
  </r>
  <r>
    <s v="ORD-0163"/>
    <x v="119"/>
    <x v="0"/>
    <x v="3"/>
    <x v="12"/>
    <s v="CUST-035"/>
    <n v="360"/>
    <n v="6"/>
    <n v="114.05"/>
    <x v="3"/>
  </r>
  <r>
    <s v="ORD-0164"/>
    <x v="123"/>
    <x v="3"/>
    <x v="1"/>
    <x v="5"/>
    <s v="CUST-024"/>
    <n v="1716"/>
    <n v="6"/>
    <n v="369.91"/>
    <x v="3"/>
  </r>
  <r>
    <s v="ORD-0165"/>
    <x v="124"/>
    <x v="0"/>
    <x v="3"/>
    <x v="11"/>
    <s v="CUST-096"/>
    <n v="81.599999999999994"/>
    <n v="4"/>
    <n v="35.840000000000003"/>
    <x v="1"/>
  </r>
  <r>
    <s v="ORD-0166"/>
    <x v="125"/>
    <x v="3"/>
    <x v="1"/>
    <x v="1"/>
    <s v="CUST-115"/>
    <n v="372.4"/>
    <n v="2"/>
    <n v="87.85"/>
    <x v="4"/>
  </r>
  <r>
    <s v="ORD-0167"/>
    <x v="90"/>
    <x v="3"/>
    <x v="2"/>
    <x v="2"/>
    <s v="CUST-008"/>
    <n v="680"/>
    <n v="5"/>
    <n v="171.4"/>
    <x v="0"/>
  </r>
  <r>
    <s v="ORD-0168"/>
    <x v="126"/>
    <x v="3"/>
    <x v="3"/>
    <x v="4"/>
    <s v="CUST-041"/>
    <n v="467.4"/>
    <n v="6"/>
    <n v="187.49"/>
    <x v="4"/>
  </r>
  <r>
    <s v="ORD-0169"/>
    <x v="127"/>
    <x v="2"/>
    <x v="2"/>
    <x v="2"/>
    <s v="CUST-123"/>
    <n v="510"/>
    <n v="4"/>
    <n v="147.85"/>
    <x v="1"/>
  </r>
  <r>
    <s v="ORD-0170"/>
    <x v="128"/>
    <x v="0"/>
    <x v="1"/>
    <x v="5"/>
    <s v="CUST-047"/>
    <n v="493"/>
    <n v="4"/>
    <n v="204.43"/>
    <x v="1"/>
  </r>
  <r>
    <s v="ORD-0171"/>
    <x v="129"/>
    <x v="3"/>
    <x v="0"/>
    <x v="6"/>
    <s v="CUST-105"/>
    <n v="53.2"/>
    <n v="2"/>
    <n v="17.489999999999998"/>
    <x v="4"/>
  </r>
  <r>
    <s v="ORD-0172"/>
    <x v="130"/>
    <x v="2"/>
    <x v="1"/>
    <x v="5"/>
    <s v="CUST-049"/>
    <n v="2907"/>
    <n v="4"/>
    <n v="1010.4"/>
    <x v="1"/>
  </r>
  <r>
    <s v="ORD-0173"/>
    <x v="131"/>
    <x v="2"/>
    <x v="1"/>
    <x v="1"/>
    <s v="CUST-037"/>
    <n v="799"/>
    <n v="4"/>
    <n v="301.36"/>
    <x v="1"/>
  </r>
  <r>
    <s v="ORD-0174"/>
    <x v="126"/>
    <x v="2"/>
    <x v="3"/>
    <x v="12"/>
    <s v="CUST-012"/>
    <n v="296"/>
    <n v="5"/>
    <n v="58.56"/>
    <x v="0"/>
  </r>
  <r>
    <s v="ORD-0175"/>
    <x v="31"/>
    <x v="0"/>
    <x v="2"/>
    <x v="10"/>
    <s v="CUST-038"/>
    <n v="1211.25"/>
    <n v="5"/>
    <n v="226.82"/>
    <x v="4"/>
  </r>
  <r>
    <s v="ORD-0176"/>
    <x v="132"/>
    <x v="3"/>
    <x v="3"/>
    <x v="7"/>
    <s v="CUST-085"/>
    <n v="307.8"/>
    <n v="6"/>
    <n v="77.599999999999994"/>
    <x v="4"/>
  </r>
  <r>
    <s v="ORD-0177"/>
    <x v="133"/>
    <x v="3"/>
    <x v="1"/>
    <x v="3"/>
    <s v="CUST-114"/>
    <n v="2047.25"/>
    <n v="5"/>
    <n v="555.54"/>
    <x v="4"/>
  </r>
  <r>
    <s v="ORD-0178"/>
    <x v="134"/>
    <x v="1"/>
    <x v="2"/>
    <x v="9"/>
    <s v="CUST-033"/>
    <n v="615.6"/>
    <n v="2"/>
    <n v="122.29"/>
    <x v="2"/>
  </r>
  <r>
    <s v="ORD-0179"/>
    <x v="135"/>
    <x v="3"/>
    <x v="1"/>
    <x v="3"/>
    <s v="CUST-063"/>
    <n v="5131"/>
    <n v="7"/>
    <n v="2161.2800000000002"/>
    <x v="3"/>
  </r>
  <r>
    <s v="ORD-0180"/>
    <x v="80"/>
    <x v="3"/>
    <x v="1"/>
    <x v="5"/>
    <s v="CUST-125"/>
    <n v="134.4"/>
    <n v="1"/>
    <n v="39.9"/>
    <x v="0"/>
  </r>
  <r>
    <s v="ORD-0181"/>
    <x v="100"/>
    <x v="0"/>
    <x v="2"/>
    <x v="2"/>
    <s v="CUST-129"/>
    <n v="232"/>
    <n v="4"/>
    <n v="84.53"/>
    <x v="3"/>
  </r>
  <r>
    <s v="ORD-0182"/>
    <x v="136"/>
    <x v="2"/>
    <x v="3"/>
    <x v="12"/>
    <s v="CUST-147"/>
    <n v="351.9"/>
    <n v="6"/>
    <n v="100.41"/>
    <x v="1"/>
  </r>
  <r>
    <s v="ORD-0183"/>
    <x v="137"/>
    <x v="3"/>
    <x v="3"/>
    <x v="11"/>
    <s v="CUST-074"/>
    <n v="45.6"/>
    <n v="1"/>
    <n v="13.29"/>
    <x v="4"/>
  </r>
  <r>
    <s v="ORD-0184"/>
    <x v="138"/>
    <x v="2"/>
    <x v="2"/>
    <x v="2"/>
    <s v="CUST-012"/>
    <n v="117.8"/>
    <n v="1"/>
    <n v="37.770000000000003"/>
    <x v="4"/>
  </r>
  <r>
    <s v="ORD-0185"/>
    <x v="139"/>
    <x v="0"/>
    <x v="1"/>
    <x v="15"/>
    <s v="CUST-107"/>
    <n v="1800.25"/>
    <n v="5"/>
    <n v="462.34"/>
    <x v="4"/>
  </r>
  <r>
    <s v="ORD-0186"/>
    <x v="140"/>
    <x v="1"/>
    <x v="0"/>
    <x v="0"/>
    <s v="CUST-021"/>
    <n v="934.15"/>
    <n v="7"/>
    <n v="186.55"/>
    <x v="1"/>
  </r>
  <r>
    <s v="ORD-0187"/>
    <x v="141"/>
    <x v="2"/>
    <x v="1"/>
    <x v="15"/>
    <s v="CUST-035"/>
    <n v="2114.4"/>
    <n v="3"/>
    <n v="788.85"/>
    <x v="0"/>
  </r>
  <r>
    <s v="ORD-0188"/>
    <x v="49"/>
    <x v="2"/>
    <x v="3"/>
    <x v="4"/>
    <s v="CUST-094"/>
    <n v="12"/>
    <n v="2"/>
    <n v="2.2400000000000002"/>
    <x v="3"/>
  </r>
  <r>
    <s v="ORD-0189"/>
    <x v="142"/>
    <x v="1"/>
    <x v="0"/>
    <x v="6"/>
    <s v="CUST-036"/>
    <n v="371"/>
    <n v="7"/>
    <n v="110.12"/>
    <x v="3"/>
  </r>
  <r>
    <s v="ORD-0190"/>
    <x v="143"/>
    <x v="0"/>
    <x v="3"/>
    <x v="4"/>
    <s v="CUST-150"/>
    <n v="230.4"/>
    <n v="6"/>
    <n v="64.290000000000006"/>
    <x v="0"/>
  </r>
  <r>
    <s v="ORD-0191"/>
    <x v="144"/>
    <x v="2"/>
    <x v="2"/>
    <x v="9"/>
    <s v="CUST-072"/>
    <n v="2462.4"/>
    <n v="6"/>
    <n v="991.88"/>
    <x v="4"/>
  </r>
  <r>
    <s v="ORD-0192"/>
    <x v="145"/>
    <x v="1"/>
    <x v="3"/>
    <x v="4"/>
    <s v="CUST-089"/>
    <n v="68.400000000000006"/>
    <n v="1"/>
    <n v="17.260000000000002"/>
    <x v="4"/>
  </r>
  <r>
    <s v="ORD-0193"/>
    <x v="146"/>
    <x v="2"/>
    <x v="2"/>
    <x v="14"/>
    <s v="CUST-119"/>
    <n v="1124"/>
    <n v="4"/>
    <n v="282.17"/>
    <x v="3"/>
  </r>
  <r>
    <s v="ORD-0194"/>
    <x v="89"/>
    <x v="3"/>
    <x v="1"/>
    <x v="5"/>
    <s v="CUST-078"/>
    <n v="2606.1"/>
    <n v="6"/>
    <n v="1027.6600000000001"/>
    <x v="1"/>
  </r>
  <r>
    <s v="ORD-0195"/>
    <x v="147"/>
    <x v="0"/>
    <x v="1"/>
    <x v="5"/>
    <s v="CUST-042"/>
    <n v="299.7"/>
    <n v="1"/>
    <n v="86.55"/>
    <x v="2"/>
  </r>
  <r>
    <s v="ORD-0196"/>
    <x v="148"/>
    <x v="3"/>
    <x v="2"/>
    <x v="9"/>
    <s v="CUST-032"/>
    <n v="3137.4"/>
    <n v="7"/>
    <n v="900.84"/>
    <x v="2"/>
  </r>
  <r>
    <s v="ORD-0197"/>
    <x v="149"/>
    <x v="0"/>
    <x v="0"/>
    <x v="8"/>
    <s v="CUST-070"/>
    <n v="599.4"/>
    <n v="6"/>
    <n v="204.8"/>
    <x v="2"/>
  </r>
  <r>
    <s v="ORD-0198"/>
    <x v="141"/>
    <x v="1"/>
    <x v="1"/>
    <x v="3"/>
    <s v="CUST-149"/>
    <n v="2924"/>
    <n v="4"/>
    <n v="683.93"/>
    <x v="1"/>
  </r>
  <r>
    <s v="ORD-0199"/>
    <x v="131"/>
    <x v="0"/>
    <x v="3"/>
    <x v="12"/>
    <s v="CUST-002"/>
    <n v="111.6"/>
    <n v="2"/>
    <n v="44.49"/>
    <x v="2"/>
  </r>
  <r>
    <s v="ORD-0200"/>
    <x v="150"/>
    <x v="2"/>
    <x v="2"/>
    <x v="9"/>
    <s v="CUST-031"/>
    <n v="828.75"/>
    <n v="3"/>
    <n v="353.07"/>
    <x v="1"/>
  </r>
  <r>
    <s v="ORD-0201"/>
    <x v="8"/>
    <x v="1"/>
    <x v="0"/>
    <x v="8"/>
    <s v="CUST-003"/>
    <n v="1023.4"/>
    <n v="7"/>
    <n v="364.49"/>
    <x v="1"/>
  </r>
  <r>
    <s v="ORD-0202"/>
    <x v="151"/>
    <x v="2"/>
    <x v="3"/>
    <x v="12"/>
    <s v="CUST-121"/>
    <n v="38.25"/>
    <n v="5"/>
    <n v="7.64"/>
    <x v="1"/>
  </r>
  <r>
    <s v="ORD-0203"/>
    <x v="152"/>
    <x v="1"/>
    <x v="2"/>
    <x v="9"/>
    <s v="CUST-142"/>
    <n v="1584"/>
    <n v="4"/>
    <n v="359.51"/>
    <x v="0"/>
  </r>
  <r>
    <s v="ORD-0204"/>
    <x v="14"/>
    <x v="0"/>
    <x v="3"/>
    <x v="11"/>
    <s v="CUST-055"/>
    <n v="591.85"/>
    <n v="7"/>
    <n v="116.61"/>
    <x v="4"/>
  </r>
  <r>
    <s v="ORD-0205"/>
    <x v="153"/>
    <x v="2"/>
    <x v="2"/>
    <x v="14"/>
    <s v="CUST-035"/>
    <n v="2286"/>
    <n v="6"/>
    <n v="956.88"/>
    <x v="3"/>
  </r>
  <r>
    <s v="ORD-0206"/>
    <x v="154"/>
    <x v="3"/>
    <x v="2"/>
    <x v="10"/>
    <s v="CUST-091"/>
    <n v="294.10000000000002"/>
    <n v="2"/>
    <n v="67.33"/>
    <x v="1"/>
  </r>
  <r>
    <s v="ORD-0207"/>
    <x v="155"/>
    <x v="2"/>
    <x v="2"/>
    <x v="14"/>
    <s v="CUST-095"/>
    <n v="598.5"/>
    <n v="2"/>
    <n v="247.91"/>
    <x v="4"/>
  </r>
  <r>
    <s v="ORD-0208"/>
    <x v="156"/>
    <x v="2"/>
    <x v="2"/>
    <x v="9"/>
    <s v="CUST-117"/>
    <n v="1884.6"/>
    <n v="6"/>
    <n v="363.25"/>
    <x v="2"/>
  </r>
  <r>
    <s v="ORD-0209"/>
    <x v="21"/>
    <x v="1"/>
    <x v="2"/>
    <x v="10"/>
    <s v="CUST-092"/>
    <n v="501.5"/>
    <n v="5"/>
    <n v="120.5"/>
    <x v="1"/>
  </r>
  <r>
    <s v="ORD-0210"/>
    <x v="131"/>
    <x v="1"/>
    <x v="1"/>
    <x v="3"/>
    <s v="CUST-031"/>
    <n v="2932.8"/>
    <n v="6"/>
    <n v="1305.75"/>
    <x v="0"/>
  </r>
  <r>
    <s v="ORD-0211"/>
    <x v="157"/>
    <x v="0"/>
    <x v="0"/>
    <x v="8"/>
    <s v="CUST-083"/>
    <n v="410.4"/>
    <n v="3"/>
    <n v="178.28"/>
    <x v="4"/>
  </r>
  <r>
    <s v="ORD-0212"/>
    <x v="158"/>
    <x v="0"/>
    <x v="1"/>
    <x v="16"/>
    <s v="CUST-040"/>
    <n v="1734"/>
    <n v="5"/>
    <n v="490.94"/>
    <x v="1"/>
  </r>
  <r>
    <s v="ORD-0213"/>
    <x v="110"/>
    <x v="0"/>
    <x v="1"/>
    <x v="5"/>
    <s v="CUST-116"/>
    <n v="2731.05"/>
    <n v="7"/>
    <n v="603.66"/>
    <x v="1"/>
  </r>
  <r>
    <s v="ORD-0214"/>
    <x v="159"/>
    <x v="3"/>
    <x v="0"/>
    <x v="13"/>
    <s v="CUST-130"/>
    <n v="676"/>
    <n v="5"/>
    <n v="233.55"/>
    <x v="0"/>
  </r>
  <r>
    <s v="ORD-0215"/>
    <x v="160"/>
    <x v="2"/>
    <x v="2"/>
    <x v="14"/>
    <s v="CUST-082"/>
    <n v="1277.75"/>
    <n v="5"/>
    <n v="340.06"/>
    <x v="4"/>
  </r>
  <r>
    <s v="ORD-0216"/>
    <x v="103"/>
    <x v="2"/>
    <x v="1"/>
    <x v="5"/>
    <s v="CUST-026"/>
    <n v="1740.8"/>
    <n v="4"/>
    <n v="386.5"/>
    <x v="0"/>
  </r>
  <r>
    <s v="ORD-0217"/>
    <x v="64"/>
    <x v="2"/>
    <x v="2"/>
    <x v="10"/>
    <s v="CUST-042"/>
    <n v="256.7"/>
    <n v="2"/>
    <n v="55.94"/>
    <x v="1"/>
  </r>
  <r>
    <s v="ORD-0218"/>
    <x v="161"/>
    <x v="1"/>
    <x v="1"/>
    <x v="5"/>
    <s v="CUST-029"/>
    <n v="271"/>
    <n v="1"/>
    <n v="71.599999999999994"/>
    <x v="3"/>
  </r>
  <r>
    <s v="ORD-0219"/>
    <x v="162"/>
    <x v="1"/>
    <x v="1"/>
    <x v="15"/>
    <s v="CUST-079"/>
    <n v="590.9"/>
    <n v="2"/>
    <n v="204.27"/>
    <x v="4"/>
  </r>
  <r>
    <s v="ORD-0220"/>
    <x v="132"/>
    <x v="2"/>
    <x v="1"/>
    <x v="1"/>
    <s v="CUST-087"/>
    <n v="1764"/>
    <n v="7"/>
    <n v="582.67999999999995"/>
    <x v="3"/>
  </r>
  <r>
    <s v="ORD-0221"/>
    <x v="163"/>
    <x v="3"/>
    <x v="0"/>
    <x v="8"/>
    <s v="CUST-110"/>
    <n v="664"/>
    <n v="5"/>
    <n v="207.62"/>
    <x v="0"/>
  </r>
  <r>
    <s v="ORD-0222"/>
    <x v="164"/>
    <x v="2"/>
    <x v="3"/>
    <x v="7"/>
    <s v="CUST-094"/>
    <n v="115.2"/>
    <n v="4"/>
    <n v="46.42"/>
    <x v="2"/>
  </r>
  <r>
    <s v="ORD-0223"/>
    <x v="165"/>
    <x v="1"/>
    <x v="2"/>
    <x v="10"/>
    <s v="CUST-073"/>
    <n v="300"/>
    <n v="2"/>
    <n v="111.07"/>
    <x v="3"/>
  </r>
  <r>
    <s v="ORD-0224"/>
    <x v="133"/>
    <x v="3"/>
    <x v="2"/>
    <x v="14"/>
    <s v="CUST-114"/>
    <n v="662"/>
    <n v="2"/>
    <n v="182.81"/>
    <x v="3"/>
  </r>
  <r>
    <s v="ORD-0225"/>
    <x v="54"/>
    <x v="1"/>
    <x v="2"/>
    <x v="9"/>
    <s v="CUST-124"/>
    <n v="1235.2"/>
    <n v="4"/>
    <n v="248.92"/>
    <x v="0"/>
  </r>
  <r>
    <s v="ORD-0226"/>
    <x v="16"/>
    <x v="3"/>
    <x v="2"/>
    <x v="14"/>
    <s v="CUST-124"/>
    <n v="624"/>
    <n v="2"/>
    <n v="218.1"/>
    <x v="3"/>
  </r>
  <r>
    <s v="ORD-0227"/>
    <x v="166"/>
    <x v="1"/>
    <x v="2"/>
    <x v="9"/>
    <s v="CUST-119"/>
    <n v="906"/>
    <n v="2"/>
    <n v="249.72"/>
    <x v="3"/>
  </r>
  <r>
    <s v="ORD-0228"/>
    <x v="18"/>
    <x v="1"/>
    <x v="0"/>
    <x v="8"/>
    <s v="CUST-046"/>
    <n v="102.4"/>
    <n v="4"/>
    <n v="39.97"/>
    <x v="0"/>
  </r>
  <r>
    <s v="ORD-0229"/>
    <x v="167"/>
    <x v="2"/>
    <x v="3"/>
    <x v="12"/>
    <s v="CUST-013"/>
    <n v="163.80000000000001"/>
    <n v="7"/>
    <n v="61.8"/>
    <x v="2"/>
  </r>
  <r>
    <s v="ORD-0230"/>
    <x v="168"/>
    <x v="2"/>
    <x v="2"/>
    <x v="2"/>
    <s v="CUST-022"/>
    <n v="2137.5"/>
    <n v="5"/>
    <n v="874.92"/>
    <x v="2"/>
  </r>
  <r>
    <s v="ORD-0231"/>
    <x v="169"/>
    <x v="0"/>
    <x v="0"/>
    <x v="8"/>
    <s v="CUST-108"/>
    <n v="76.5"/>
    <n v="5"/>
    <n v="31.29"/>
    <x v="2"/>
  </r>
  <r>
    <s v="ORD-0232"/>
    <x v="170"/>
    <x v="2"/>
    <x v="0"/>
    <x v="8"/>
    <s v="CUST-132"/>
    <n v="600"/>
    <n v="5"/>
    <n v="149.84"/>
    <x v="3"/>
  </r>
  <r>
    <s v="ORD-0233"/>
    <x v="171"/>
    <x v="2"/>
    <x v="3"/>
    <x v="7"/>
    <s v="CUST-137"/>
    <n v="90"/>
    <n v="2"/>
    <n v="35.93"/>
    <x v="2"/>
  </r>
  <r>
    <s v="ORD-0234"/>
    <x v="172"/>
    <x v="2"/>
    <x v="3"/>
    <x v="4"/>
    <s v="CUST-121"/>
    <n v="295.8"/>
    <n v="6"/>
    <n v="73.55"/>
    <x v="1"/>
  </r>
  <r>
    <s v="ORD-0235"/>
    <x v="173"/>
    <x v="2"/>
    <x v="3"/>
    <x v="7"/>
    <s v="CUST-132"/>
    <n v="208.8"/>
    <n v="3"/>
    <n v="86.93"/>
    <x v="0"/>
  </r>
  <r>
    <s v="ORD-0236"/>
    <x v="158"/>
    <x v="1"/>
    <x v="3"/>
    <x v="12"/>
    <s v="CUST-057"/>
    <n v="427.2"/>
    <n v="6"/>
    <n v="188.89"/>
    <x v="0"/>
  </r>
  <r>
    <s v="ORD-0237"/>
    <x v="174"/>
    <x v="3"/>
    <x v="1"/>
    <x v="1"/>
    <s v="CUST-055"/>
    <n v="178.2"/>
    <n v="1"/>
    <n v="77.069999999999993"/>
    <x v="2"/>
  </r>
  <r>
    <s v="ORD-0238"/>
    <x v="161"/>
    <x v="0"/>
    <x v="3"/>
    <x v="4"/>
    <s v="CUST-049"/>
    <n v="464.4"/>
    <n v="6"/>
    <n v="175.15"/>
    <x v="2"/>
  </r>
  <r>
    <s v="ORD-0239"/>
    <x v="69"/>
    <x v="1"/>
    <x v="0"/>
    <x v="13"/>
    <s v="CUST-019"/>
    <n v="350.55"/>
    <n v="3"/>
    <n v="90.77"/>
    <x v="4"/>
  </r>
  <r>
    <s v="ORD-0240"/>
    <x v="175"/>
    <x v="2"/>
    <x v="3"/>
    <x v="11"/>
    <s v="CUST-047"/>
    <n v="236"/>
    <n v="4"/>
    <n v="100.55"/>
    <x v="3"/>
  </r>
  <r>
    <s v="ORD-0241"/>
    <x v="176"/>
    <x v="0"/>
    <x v="0"/>
    <x v="8"/>
    <s v="CUST-143"/>
    <n v="595"/>
    <n v="4"/>
    <n v="188.04"/>
    <x v="1"/>
  </r>
  <r>
    <s v="ORD-0242"/>
    <x v="59"/>
    <x v="3"/>
    <x v="2"/>
    <x v="14"/>
    <s v="CUST-050"/>
    <n v="649.79999999999995"/>
    <n v="6"/>
    <n v="189.29"/>
    <x v="4"/>
  </r>
  <r>
    <s v="ORD-0243"/>
    <x v="177"/>
    <x v="2"/>
    <x v="0"/>
    <x v="8"/>
    <s v="CUST-147"/>
    <n v="396"/>
    <n v="3"/>
    <n v="78.81"/>
    <x v="3"/>
  </r>
  <r>
    <s v="ORD-0244"/>
    <x v="113"/>
    <x v="1"/>
    <x v="2"/>
    <x v="14"/>
    <s v="CUST-005"/>
    <n v="1978.8"/>
    <n v="6"/>
    <n v="461.63"/>
    <x v="1"/>
  </r>
  <r>
    <s v="ORD-0245"/>
    <x v="145"/>
    <x v="3"/>
    <x v="3"/>
    <x v="12"/>
    <s v="CUST-041"/>
    <n v="78"/>
    <n v="2"/>
    <n v="18.670000000000002"/>
    <x v="3"/>
  </r>
  <r>
    <s v="ORD-0246"/>
    <x v="178"/>
    <x v="2"/>
    <x v="2"/>
    <x v="2"/>
    <s v="CUST-108"/>
    <n v="771.8"/>
    <n v="4"/>
    <n v="210.41"/>
    <x v="1"/>
  </r>
  <r>
    <s v="ORD-0247"/>
    <x v="174"/>
    <x v="1"/>
    <x v="2"/>
    <x v="2"/>
    <s v="CUST-106"/>
    <n v="2193"/>
    <n v="6"/>
    <n v="520.78"/>
    <x v="1"/>
  </r>
  <r>
    <s v="ORD-0248"/>
    <x v="96"/>
    <x v="0"/>
    <x v="1"/>
    <x v="5"/>
    <s v="CUST-021"/>
    <n v="3429"/>
    <n v="6"/>
    <n v="1485.04"/>
    <x v="2"/>
  </r>
  <r>
    <s v="ORD-0249"/>
    <x v="179"/>
    <x v="1"/>
    <x v="3"/>
    <x v="12"/>
    <s v="CUST-143"/>
    <n v="18.05"/>
    <n v="1"/>
    <n v="4.55"/>
    <x v="4"/>
  </r>
  <r>
    <s v="ORD-0250"/>
    <x v="139"/>
    <x v="3"/>
    <x v="3"/>
    <x v="7"/>
    <s v="CUST-069"/>
    <n v="90"/>
    <n v="5"/>
    <n v="28.48"/>
    <x v="3"/>
  </r>
  <r>
    <s v="ORD-0251"/>
    <x v="180"/>
    <x v="3"/>
    <x v="0"/>
    <x v="6"/>
    <s v="CUST-117"/>
    <n v="206.4"/>
    <n v="2"/>
    <n v="58.97"/>
    <x v="0"/>
  </r>
  <r>
    <s v="ORD-0252"/>
    <x v="181"/>
    <x v="3"/>
    <x v="3"/>
    <x v="7"/>
    <s v="CUST-043"/>
    <n v="136"/>
    <n v="2"/>
    <n v="52.85"/>
    <x v="0"/>
  </r>
  <r>
    <s v="ORD-0253"/>
    <x v="182"/>
    <x v="2"/>
    <x v="1"/>
    <x v="3"/>
    <s v="CUST-002"/>
    <n v="1459.2"/>
    <n v="6"/>
    <n v="465.68"/>
    <x v="4"/>
  </r>
  <r>
    <s v="ORD-0254"/>
    <x v="183"/>
    <x v="1"/>
    <x v="2"/>
    <x v="10"/>
    <s v="CUST-088"/>
    <n v="332.1"/>
    <n v="1"/>
    <n v="91.07"/>
    <x v="2"/>
  </r>
  <r>
    <s v="ORD-0255"/>
    <x v="184"/>
    <x v="0"/>
    <x v="0"/>
    <x v="0"/>
    <s v="CUST-021"/>
    <n v="610.20000000000005"/>
    <n v="6"/>
    <n v="145.05000000000001"/>
    <x v="2"/>
  </r>
  <r>
    <s v="ORD-0256"/>
    <x v="175"/>
    <x v="1"/>
    <x v="3"/>
    <x v="12"/>
    <s v="CUST-014"/>
    <n v="504"/>
    <n v="7"/>
    <n v="137.04"/>
    <x v="0"/>
  </r>
  <r>
    <s v="ORD-0257"/>
    <x v="185"/>
    <x v="3"/>
    <x v="0"/>
    <x v="8"/>
    <s v="CUST-131"/>
    <n v="42"/>
    <n v="1"/>
    <n v="18.59"/>
    <x v="3"/>
  </r>
  <r>
    <s v="ORD-0258"/>
    <x v="110"/>
    <x v="0"/>
    <x v="3"/>
    <x v="4"/>
    <s v="CUST-147"/>
    <n v="36.549999999999997"/>
    <n v="1"/>
    <n v="11.99"/>
    <x v="1"/>
  </r>
  <r>
    <s v="ORD-0259"/>
    <x v="47"/>
    <x v="2"/>
    <x v="1"/>
    <x v="3"/>
    <s v="CUST-085"/>
    <n v="1486.65"/>
    <n v="3"/>
    <n v="350.74"/>
    <x v="1"/>
  </r>
  <r>
    <s v="ORD-0260"/>
    <x v="55"/>
    <x v="3"/>
    <x v="3"/>
    <x v="7"/>
    <s v="CUST-007"/>
    <n v="81.7"/>
    <n v="1"/>
    <n v="26.89"/>
    <x v="4"/>
  </r>
  <r>
    <s v="ORD-0261"/>
    <x v="132"/>
    <x v="2"/>
    <x v="3"/>
    <x v="7"/>
    <s v="CUST-124"/>
    <n v="220"/>
    <n v="5"/>
    <n v="63.47"/>
    <x v="3"/>
  </r>
  <r>
    <s v="ORD-0262"/>
    <x v="134"/>
    <x v="0"/>
    <x v="3"/>
    <x v="7"/>
    <s v="CUST-016"/>
    <n v="115"/>
    <n v="5"/>
    <n v="26.8"/>
    <x v="3"/>
  </r>
  <r>
    <s v="ORD-0263"/>
    <x v="37"/>
    <x v="0"/>
    <x v="1"/>
    <x v="3"/>
    <s v="CUST-128"/>
    <n v="2601"/>
    <n v="5"/>
    <n v="470.23"/>
    <x v="1"/>
  </r>
  <r>
    <s v="ORD-0264"/>
    <x v="159"/>
    <x v="0"/>
    <x v="0"/>
    <x v="8"/>
    <s v="CUST-009"/>
    <n v="37.049999999999997"/>
    <n v="1"/>
    <n v="14.57"/>
    <x v="4"/>
  </r>
  <r>
    <s v="ORD-0265"/>
    <x v="151"/>
    <x v="1"/>
    <x v="3"/>
    <x v="12"/>
    <s v="CUST-131"/>
    <n v="96"/>
    <n v="2"/>
    <n v="30.99"/>
    <x v="3"/>
  </r>
  <r>
    <s v="ORD-0266"/>
    <x v="186"/>
    <x v="0"/>
    <x v="3"/>
    <x v="4"/>
    <s v="CUST-082"/>
    <n v="480.6"/>
    <n v="6"/>
    <n v="197.85"/>
    <x v="2"/>
  </r>
  <r>
    <s v="ORD-0267"/>
    <x v="187"/>
    <x v="3"/>
    <x v="2"/>
    <x v="14"/>
    <s v="CUST-015"/>
    <n v="215"/>
    <n v="1"/>
    <n v="47.9"/>
    <x v="3"/>
  </r>
  <r>
    <s v="ORD-0268"/>
    <x v="185"/>
    <x v="1"/>
    <x v="0"/>
    <x v="6"/>
    <s v="CUST-047"/>
    <n v="28.5"/>
    <n v="1"/>
    <n v="10.4"/>
    <x v="4"/>
  </r>
  <r>
    <s v="ORD-0269"/>
    <x v="116"/>
    <x v="3"/>
    <x v="0"/>
    <x v="13"/>
    <s v="CUST-143"/>
    <n v="13.5"/>
    <n v="1"/>
    <n v="3.54"/>
    <x v="2"/>
  </r>
  <r>
    <s v="ORD-0270"/>
    <x v="31"/>
    <x v="2"/>
    <x v="0"/>
    <x v="8"/>
    <s v="CUST-099"/>
    <n v="153"/>
    <n v="3"/>
    <n v="32.86"/>
    <x v="1"/>
  </r>
  <r>
    <s v="ORD-0271"/>
    <x v="188"/>
    <x v="3"/>
    <x v="3"/>
    <x v="11"/>
    <s v="CUST-142"/>
    <n v="598.5"/>
    <n v="7"/>
    <n v="251.39"/>
    <x v="2"/>
  </r>
  <r>
    <s v="ORD-0272"/>
    <x v="189"/>
    <x v="1"/>
    <x v="3"/>
    <x v="11"/>
    <s v="CUST-088"/>
    <n v="442.8"/>
    <n v="6"/>
    <n v="148.74"/>
    <x v="2"/>
  </r>
  <r>
    <s v="ORD-0273"/>
    <x v="190"/>
    <x v="1"/>
    <x v="2"/>
    <x v="2"/>
    <s v="CUST-071"/>
    <n v="1020.6"/>
    <n v="6"/>
    <n v="251.51"/>
    <x v="2"/>
  </r>
  <r>
    <s v="ORD-0274"/>
    <x v="28"/>
    <x v="1"/>
    <x v="2"/>
    <x v="14"/>
    <s v="CUST-030"/>
    <n v="138.55000000000001"/>
    <n v="1"/>
    <n v="58.14"/>
    <x v="1"/>
  </r>
  <r>
    <s v="ORD-0275"/>
    <x v="191"/>
    <x v="3"/>
    <x v="1"/>
    <x v="1"/>
    <s v="CUST-041"/>
    <n v="409.5"/>
    <n v="1"/>
    <n v="176.07"/>
    <x v="2"/>
  </r>
  <r>
    <s v="ORD-0276"/>
    <x v="19"/>
    <x v="0"/>
    <x v="3"/>
    <x v="7"/>
    <s v="CUST-016"/>
    <n v="360"/>
    <n v="4"/>
    <n v="65.87"/>
    <x v="3"/>
  </r>
  <r>
    <s v="ORD-0277"/>
    <x v="5"/>
    <x v="2"/>
    <x v="1"/>
    <x v="15"/>
    <s v="CUST-149"/>
    <n v="459.9"/>
    <n v="1"/>
    <n v="83.35"/>
    <x v="2"/>
  </r>
  <r>
    <s v="ORD-0278"/>
    <x v="192"/>
    <x v="1"/>
    <x v="1"/>
    <x v="1"/>
    <s v="CUST-065"/>
    <n v="2746.8"/>
    <n v="4"/>
    <n v="621.03"/>
    <x v="2"/>
  </r>
  <r>
    <s v="ORD-0279"/>
    <x v="76"/>
    <x v="2"/>
    <x v="3"/>
    <x v="11"/>
    <s v="CUST-147"/>
    <n v="345.1"/>
    <n v="7"/>
    <n v="112.02"/>
    <x v="1"/>
  </r>
  <r>
    <s v="ORD-0280"/>
    <x v="193"/>
    <x v="1"/>
    <x v="2"/>
    <x v="10"/>
    <s v="CUST-055"/>
    <n v="1151.75"/>
    <n v="5"/>
    <n v="272.99"/>
    <x v="1"/>
  </r>
  <r>
    <s v="ORD-0281"/>
    <x v="194"/>
    <x v="1"/>
    <x v="0"/>
    <x v="0"/>
    <s v="CUST-091"/>
    <n v="324"/>
    <n v="4"/>
    <n v="88.74"/>
    <x v="2"/>
  </r>
  <r>
    <s v="ORD-0282"/>
    <x v="59"/>
    <x v="1"/>
    <x v="0"/>
    <x v="8"/>
    <s v="CUST-006"/>
    <n v="20"/>
    <n v="1"/>
    <n v="8.98"/>
    <x v="3"/>
  </r>
  <r>
    <s v="ORD-0283"/>
    <x v="195"/>
    <x v="1"/>
    <x v="2"/>
    <x v="14"/>
    <s v="CUST-141"/>
    <n v="1082.7"/>
    <n v="3"/>
    <n v="356.41"/>
    <x v="2"/>
  </r>
  <r>
    <s v="ORD-0284"/>
    <x v="49"/>
    <x v="0"/>
    <x v="1"/>
    <x v="15"/>
    <s v="CUST-085"/>
    <n v="323.85000000000002"/>
    <n v="1"/>
    <n v="136.29"/>
    <x v="1"/>
  </r>
  <r>
    <s v="ORD-0285"/>
    <x v="196"/>
    <x v="1"/>
    <x v="1"/>
    <x v="5"/>
    <s v="CUST-021"/>
    <n v="3345.6"/>
    <n v="6"/>
    <n v="1248.47"/>
    <x v="0"/>
  </r>
  <r>
    <s v="ORD-0286"/>
    <x v="150"/>
    <x v="0"/>
    <x v="0"/>
    <x v="6"/>
    <s v="CUST-046"/>
    <n v="333.9"/>
    <n v="7"/>
    <n v="146.21"/>
    <x v="2"/>
  </r>
  <r>
    <s v="ORD-0287"/>
    <x v="55"/>
    <x v="2"/>
    <x v="1"/>
    <x v="5"/>
    <s v="CUST-045"/>
    <n v="313.60000000000002"/>
    <n v="4"/>
    <n v="80.66"/>
    <x v="0"/>
  </r>
  <r>
    <s v="ORD-0288"/>
    <x v="84"/>
    <x v="2"/>
    <x v="2"/>
    <x v="14"/>
    <s v="CUST-084"/>
    <n v="1771.2"/>
    <n v="4"/>
    <n v="796.03"/>
    <x v="2"/>
  </r>
  <r>
    <s v="ORD-0289"/>
    <x v="197"/>
    <x v="1"/>
    <x v="2"/>
    <x v="2"/>
    <s v="CUST-084"/>
    <n v="380"/>
    <n v="2"/>
    <n v="161.53"/>
    <x v="4"/>
  </r>
  <r>
    <s v="ORD-0290"/>
    <x v="198"/>
    <x v="3"/>
    <x v="1"/>
    <x v="5"/>
    <s v="CUST-051"/>
    <n v="1736.6"/>
    <n v="4"/>
    <n v="467.99"/>
    <x v="4"/>
  </r>
  <r>
    <s v="ORD-0291"/>
    <x v="48"/>
    <x v="1"/>
    <x v="0"/>
    <x v="8"/>
    <s v="CUST-117"/>
    <n v="264"/>
    <n v="2"/>
    <n v="107.8"/>
    <x v="3"/>
  </r>
  <r>
    <s v="ORD-0292"/>
    <x v="55"/>
    <x v="0"/>
    <x v="2"/>
    <x v="9"/>
    <s v="CUST-065"/>
    <n v="2502.3000000000002"/>
    <n v="6"/>
    <n v="1118.1300000000001"/>
    <x v="4"/>
  </r>
  <r>
    <s v="ORD-0293"/>
    <x v="199"/>
    <x v="1"/>
    <x v="0"/>
    <x v="8"/>
    <s v="CUST-021"/>
    <n v="532"/>
    <n v="7"/>
    <n v="134.66"/>
    <x v="3"/>
  </r>
  <r>
    <s v="ORD-0294"/>
    <x v="169"/>
    <x v="1"/>
    <x v="2"/>
    <x v="14"/>
    <s v="CUST-108"/>
    <n v="220.8"/>
    <n v="2"/>
    <n v="47.99"/>
    <x v="0"/>
  </r>
  <r>
    <s v="ORD-0295"/>
    <x v="200"/>
    <x v="3"/>
    <x v="2"/>
    <x v="10"/>
    <s v="CUST-100"/>
    <n v="526.5"/>
    <n v="3"/>
    <n v="154.16"/>
    <x v="2"/>
  </r>
  <r>
    <s v="ORD-0296"/>
    <x v="201"/>
    <x v="2"/>
    <x v="3"/>
    <x v="11"/>
    <s v="CUST-047"/>
    <n v="243.95"/>
    <n v="7"/>
    <n v="106.83"/>
    <x v="1"/>
  </r>
  <r>
    <s v="ORD-0297"/>
    <x v="18"/>
    <x v="0"/>
    <x v="3"/>
    <x v="7"/>
    <s v="CUST-049"/>
    <n v="432"/>
    <n v="5"/>
    <n v="154.66999999999999"/>
    <x v="2"/>
  </r>
  <r>
    <s v="ORD-0298"/>
    <x v="202"/>
    <x v="1"/>
    <x v="1"/>
    <x v="15"/>
    <s v="CUST-113"/>
    <n v="2001.75"/>
    <n v="5"/>
    <n v="598.29"/>
    <x v="1"/>
  </r>
  <r>
    <s v="ORD-0299"/>
    <x v="203"/>
    <x v="3"/>
    <x v="1"/>
    <x v="15"/>
    <s v="CUST-107"/>
    <n v="1820"/>
    <n v="5"/>
    <n v="630.20000000000005"/>
    <x v="0"/>
  </r>
  <r>
    <s v="ORD-0300"/>
    <x v="169"/>
    <x v="3"/>
    <x v="3"/>
    <x v="7"/>
    <s v="CUST-122"/>
    <n v="100.8"/>
    <n v="2"/>
    <n v="32.880000000000003"/>
    <x v="0"/>
  </r>
  <r>
    <s v="ORD-0301"/>
    <x v="190"/>
    <x v="2"/>
    <x v="1"/>
    <x v="5"/>
    <s v="CUST-029"/>
    <n v="345.1"/>
    <n v="2"/>
    <n v="62.6"/>
    <x v="1"/>
  </r>
  <r>
    <s v="ORD-0302"/>
    <x v="71"/>
    <x v="2"/>
    <x v="1"/>
    <x v="3"/>
    <s v="CUST-109"/>
    <n v="4266.1499999999996"/>
    <n v="7"/>
    <n v="790.82"/>
    <x v="1"/>
  </r>
  <r>
    <s v="ORD-0303"/>
    <x v="177"/>
    <x v="3"/>
    <x v="2"/>
    <x v="9"/>
    <s v="CUST-085"/>
    <n v="1350.9"/>
    <n v="3"/>
    <n v="513.30999999999995"/>
    <x v="4"/>
  </r>
  <r>
    <s v="ORD-0304"/>
    <x v="204"/>
    <x v="2"/>
    <x v="2"/>
    <x v="14"/>
    <s v="CUST-141"/>
    <n v="1220.4000000000001"/>
    <n v="4"/>
    <n v="494.73"/>
    <x v="2"/>
  </r>
  <r>
    <s v="ORD-0305"/>
    <x v="68"/>
    <x v="2"/>
    <x v="0"/>
    <x v="13"/>
    <s v="CUST-085"/>
    <n v="339"/>
    <n v="3"/>
    <n v="80.010000000000005"/>
    <x v="3"/>
  </r>
  <r>
    <s v="ORD-0306"/>
    <x v="205"/>
    <x v="3"/>
    <x v="3"/>
    <x v="4"/>
    <s v="CUST-047"/>
    <n v="103.5"/>
    <n v="5"/>
    <n v="21.16"/>
    <x v="2"/>
  </r>
  <r>
    <s v="ORD-0307"/>
    <x v="206"/>
    <x v="3"/>
    <x v="3"/>
    <x v="12"/>
    <s v="CUST-017"/>
    <n v="361.25"/>
    <n v="5"/>
    <n v="117.03"/>
    <x v="1"/>
  </r>
  <r>
    <s v="ORD-0308"/>
    <x v="24"/>
    <x v="2"/>
    <x v="0"/>
    <x v="6"/>
    <s v="CUST-143"/>
    <n v="125.4"/>
    <n v="2"/>
    <n v="39.79"/>
    <x v="4"/>
  </r>
  <r>
    <s v="ORD-0309"/>
    <x v="197"/>
    <x v="1"/>
    <x v="0"/>
    <x v="6"/>
    <s v="CUST-135"/>
    <n v="86.4"/>
    <n v="1"/>
    <n v="24.83"/>
    <x v="2"/>
  </r>
  <r>
    <s v="ORD-0310"/>
    <x v="75"/>
    <x v="1"/>
    <x v="1"/>
    <x v="3"/>
    <s v="CUST-072"/>
    <n v="2856"/>
    <n v="7"/>
    <n v="791.53"/>
    <x v="3"/>
  </r>
  <r>
    <s v="ORD-0311"/>
    <x v="207"/>
    <x v="3"/>
    <x v="0"/>
    <x v="6"/>
    <s v="CUST-022"/>
    <n v="398.4"/>
    <n v="6"/>
    <n v="79.63"/>
    <x v="0"/>
  </r>
  <r>
    <s v="ORD-0312"/>
    <x v="194"/>
    <x v="2"/>
    <x v="1"/>
    <x v="15"/>
    <s v="CUST-035"/>
    <n v="1548"/>
    <n v="3"/>
    <n v="546.66999999999996"/>
    <x v="0"/>
  </r>
  <r>
    <s v="ORD-0313"/>
    <x v="95"/>
    <x v="1"/>
    <x v="3"/>
    <x v="12"/>
    <s v="CUST-071"/>
    <n v="21.85"/>
    <n v="1"/>
    <n v="5.84"/>
    <x v="4"/>
  </r>
  <r>
    <s v="ORD-0314"/>
    <x v="143"/>
    <x v="1"/>
    <x v="2"/>
    <x v="14"/>
    <s v="CUST-136"/>
    <n v="993"/>
    <n v="3"/>
    <n v="428.34"/>
    <x v="3"/>
  </r>
  <r>
    <s v="ORD-0315"/>
    <x v="208"/>
    <x v="2"/>
    <x v="1"/>
    <x v="1"/>
    <s v="CUST-034"/>
    <n v="195.7"/>
    <n v="1"/>
    <n v="82.55"/>
    <x v="4"/>
  </r>
  <r>
    <s v="ORD-0316"/>
    <x v="209"/>
    <x v="1"/>
    <x v="2"/>
    <x v="2"/>
    <s v="CUST-034"/>
    <n v="1429.2"/>
    <n v="4"/>
    <n v="399.23"/>
    <x v="2"/>
  </r>
  <r>
    <s v="ORD-0317"/>
    <x v="210"/>
    <x v="1"/>
    <x v="1"/>
    <x v="5"/>
    <s v="CUST-144"/>
    <n v="606"/>
    <n v="3"/>
    <n v="190.79"/>
    <x v="3"/>
  </r>
  <r>
    <s v="ORD-0318"/>
    <x v="0"/>
    <x v="3"/>
    <x v="2"/>
    <x v="10"/>
    <s v="CUST-120"/>
    <n v="88.4"/>
    <n v="2"/>
    <n v="19.170000000000002"/>
    <x v="1"/>
  </r>
  <r>
    <s v="ORD-0319"/>
    <x v="84"/>
    <x v="2"/>
    <x v="2"/>
    <x v="14"/>
    <s v="CUST-013"/>
    <n v="780"/>
    <n v="3"/>
    <n v="235.38"/>
    <x v="3"/>
  </r>
  <r>
    <s v="ORD-0320"/>
    <x v="184"/>
    <x v="3"/>
    <x v="1"/>
    <x v="3"/>
    <s v="CUST-074"/>
    <n v="4330"/>
    <n v="5"/>
    <n v="1106.99"/>
    <x v="3"/>
  </r>
  <r>
    <s v="ORD-0321"/>
    <x v="7"/>
    <x v="1"/>
    <x v="2"/>
    <x v="10"/>
    <s v="CUST-079"/>
    <n v="1065.9000000000001"/>
    <n v="6"/>
    <n v="274.18"/>
    <x v="4"/>
  </r>
  <r>
    <s v="ORD-0322"/>
    <x v="35"/>
    <x v="3"/>
    <x v="2"/>
    <x v="2"/>
    <s v="CUST-098"/>
    <n v="1622.6"/>
    <n v="7"/>
    <n v="554.29999999999995"/>
    <x v="4"/>
  </r>
  <r>
    <s v="ORD-0323"/>
    <x v="211"/>
    <x v="3"/>
    <x v="0"/>
    <x v="6"/>
    <s v="CUST-096"/>
    <n v="93"/>
    <n v="1"/>
    <n v="29.02"/>
    <x v="3"/>
  </r>
  <r>
    <s v="ORD-0324"/>
    <x v="212"/>
    <x v="2"/>
    <x v="2"/>
    <x v="2"/>
    <s v="CUST-139"/>
    <n v="127"/>
    <n v="1"/>
    <n v="45.48"/>
    <x v="3"/>
  </r>
  <r>
    <s v="ORD-0325"/>
    <x v="25"/>
    <x v="0"/>
    <x v="1"/>
    <x v="5"/>
    <s v="CUST-051"/>
    <n v="1881.9"/>
    <n v="3"/>
    <n v="556.30999999999995"/>
    <x v="1"/>
  </r>
  <r>
    <s v="ORD-0326"/>
    <x v="213"/>
    <x v="0"/>
    <x v="1"/>
    <x v="3"/>
    <s v="CUST-060"/>
    <n v="249.3"/>
    <n v="1"/>
    <n v="106.17"/>
    <x v="2"/>
  </r>
  <r>
    <s v="ORD-0327"/>
    <x v="151"/>
    <x v="0"/>
    <x v="0"/>
    <x v="8"/>
    <s v="CUST-017"/>
    <n v="912.8"/>
    <n v="7"/>
    <n v="172.67"/>
    <x v="0"/>
  </r>
  <r>
    <s v="ORD-0328"/>
    <x v="107"/>
    <x v="3"/>
    <x v="3"/>
    <x v="7"/>
    <s v="CUST-145"/>
    <n v="79.2"/>
    <n v="1"/>
    <n v="22.08"/>
    <x v="2"/>
  </r>
  <r>
    <s v="ORD-0329"/>
    <x v="105"/>
    <x v="1"/>
    <x v="1"/>
    <x v="15"/>
    <s v="CUST-105"/>
    <n v="4116.3500000000004"/>
    <n v="7"/>
    <n v="1147.25"/>
    <x v="4"/>
  </r>
  <r>
    <s v="ORD-0330"/>
    <x v="214"/>
    <x v="3"/>
    <x v="3"/>
    <x v="7"/>
    <s v="CUST-054"/>
    <n v="33.25"/>
    <n v="1"/>
    <n v="13.06"/>
    <x v="4"/>
  </r>
  <r>
    <s v="ORD-0331"/>
    <x v="192"/>
    <x v="1"/>
    <x v="3"/>
    <x v="12"/>
    <s v="CUST-007"/>
    <n v="39.200000000000003"/>
    <n v="1"/>
    <n v="14.51"/>
    <x v="0"/>
  </r>
  <r>
    <s v="ORD-0332"/>
    <x v="22"/>
    <x v="0"/>
    <x v="3"/>
    <x v="12"/>
    <s v="CUST-013"/>
    <n v="96"/>
    <n v="3"/>
    <n v="20.13"/>
    <x v="3"/>
  </r>
  <r>
    <s v="ORD-0333"/>
    <x v="215"/>
    <x v="2"/>
    <x v="1"/>
    <x v="5"/>
    <s v="CUST-102"/>
    <n v="638.4"/>
    <n v="6"/>
    <n v="168.68"/>
    <x v="0"/>
  </r>
  <r>
    <s v="ORD-0334"/>
    <x v="196"/>
    <x v="1"/>
    <x v="3"/>
    <x v="12"/>
    <s v="CUST-116"/>
    <n v="156.6"/>
    <n v="6"/>
    <n v="53.38"/>
    <x v="2"/>
  </r>
  <r>
    <s v="ORD-0335"/>
    <x v="195"/>
    <x v="0"/>
    <x v="3"/>
    <x v="11"/>
    <s v="CUST-016"/>
    <n v="182.4"/>
    <n v="3"/>
    <n v="48.71"/>
    <x v="4"/>
  </r>
  <r>
    <s v="ORD-0336"/>
    <x v="12"/>
    <x v="2"/>
    <x v="0"/>
    <x v="8"/>
    <s v="CUST-134"/>
    <n v="155.80000000000001"/>
    <n v="4"/>
    <n v="37.71"/>
    <x v="4"/>
  </r>
  <r>
    <s v="ORD-0337"/>
    <x v="206"/>
    <x v="1"/>
    <x v="0"/>
    <x v="0"/>
    <s v="CUST-043"/>
    <n v="293.25"/>
    <n v="5"/>
    <n v="81.14"/>
    <x v="1"/>
  </r>
  <r>
    <s v="ORD-0338"/>
    <x v="27"/>
    <x v="2"/>
    <x v="1"/>
    <x v="1"/>
    <s v="CUST-045"/>
    <n v="3630"/>
    <n v="5"/>
    <n v="1097.42"/>
    <x v="3"/>
  </r>
  <r>
    <s v="ORD-0339"/>
    <x v="216"/>
    <x v="0"/>
    <x v="2"/>
    <x v="14"/>
    <s v="CUST-124"/>
    <n v="889.2"/>
    <n v="4"/>
    <n v="255.3"/>
    <x v="4"/>
  </r>
  <r>
    <s v="ORD-0340"/>
    <x v="14"/>
    <x v="0"/>
    <x v="0"/>
    <x v="0"/>
    <s v="CUST-032"/>
    <n v="188.8"/>
    <n v="2"/>
    <n v="57.91"/>
    <x v="0"/>
  </r>
  <r>
    <s v="ORD-0341"/>
    <x v="156"/>
    <x v="3"/>
    <x v="3"/>
    <x v="12"/>
    <s v="CUST-045"/>
    <n v="71.25"/>
    <n v="1"/>
    <n v="14.82"/>
    <x v="4"/>
  </r>
  <r>
    <s v="ORD-0342"/>
    <x v="201"/>
    <x v="2"/>
    <x v="0"/>
    <x v="6"/>
    <s v="CUST-052"/>
    <n v="501.5"/>
    <n v="5"/>
    <n v="138.63"/>
    <x v="1"/>
  </r>
  <r>
    <s v="ORD-0343"/>
    <x v="217"/>
    <x v="2"/>
    <x v="2"/>
    <x v="10"/>
    <s v="CUST-114"/>
    <n v="576"/>
    <n v="6"/>
    <n v="151.88999999999999"/>
    <x v="3"/>
  </r>
  <r>
    <s v="ORD-0344"/>
    <x v="146"/>
    <x v="0"/>
    <x v="1"/>
    <x v="1"/>
    <s v="CUST-061"/>
    <n v="1672"/>
    <n v="4"/>
    <n v="616.1"/>
    <x v="4"/>
  </r>
  <r>
    <s v="ORD-0345"/>
    <x v="134"/>
    <x v="2"/>
    <x v="2"/>
    <x v="9"/>
    <s v="CUST-003"/>
    <n v="2445.3000000000002"/>
    <n v="6"/>
    <n v="739.33"/>
    <x v="4"/>
  </r>
  <r>
    <s v="ORD-0346"/>
    <x v="150"/>
    <x v="3"/>
    <x v="2"/>
    <x v="2"/>
    <s v="CUST-011"/>
    <n v="2335"/>
    <n v="5"/>
    <n v="432.16"/>
    <x v="3"/>
  </r>
  <r>
    <s v="ORD-0347"/>
    <x v="56"/>
    <x v="1"/>
    <x v="0"/>
    <x v="0"/>
    <s v="CUST-090"/>
    <n v="108"/>
    <n v="4"/>
    <n v="34.07"/>
    <x v="2"/>
  </r>
  <r>
    <s v="ORD-0348"/>
    <x v="218"/>
    <x v="3"/>
    <x v="2"/>
    <x v="9"/>
    <s v="CUST-134"/>
    <n v="1425.6"/>
    <n v="4"/>
    <n v="573.74"/>
    <x v="2"/>
  </r>
  <r>
    <s v="ORD-0349"/>
    <x v="174"/>
    <x v="3"/>
    <x v="3"/>
    <x v="4"/>
    <s v="CUST-008"/>
    <n v="56.7"/>
    <n v="3"/>
    <n v="19.46"/>
    <x v="2"/>
  </r>
  <r>
    <s v="ORD-0350"/>
    <x v="87"/>
    <x v="3"/>
    <x v="1"/>
    <x v="15"/>
    <s v="CUST-086"/>
    <n v="2586"/>
    <n v="6"/>
    <n v="1050.0999999999999"/>
    <x v="3"/>
  </r>
  <r>
    <s v="ORD-0351"/>
    <x v="219"/>
    <x v="3"/>
    <x v="1"/>
    <x v="15"/>
    <s v="CUST-104"/>
    <n v="691.2"/>
    <n v="4"/>
    <n v="240.69"/>
    <x v="0"/>
  </r>
  <r>
    <s v="ORD-0352"/>
    <x v="209"/>
    <x v="3"/>
    <x v="2"/>
    <x v="14"/>
    <s v="CUST-009"/>
    <n v="378"/>
    <n v="3"/>
    <n v="78.790000000000006"/>
    <x v="2"/>
  </r>
  <r>
    <s v="ORD-0353"/>
    <x v="220"/>
    <x v="0"/>
    <x v="2"/>
    <x v="10"/>
    <s v="CUST-148"/>
    <n v="511"/>
    <n v="7"/>
    <n v="124.95"/>
    <x v="3"/>
  </r>
  <r>
    <s v="ORD-0354"/>
    <x v="221"/>
    <x v="2"/>
    <x v="1"/>
    <x v="15"/>
    <s v="CUST-116"/>
    <n v="1966.5"/>
    <n v="3"/>
    <n v="695.31"/>
    <x v="4"/>
  </r>
  <r>
    <s v="ORD-0355"/>
    <x v="211"/>
    <x v="2"/>
    <x v="1"/>
    <x v="1"/>
    <s v="CUST-148"/>
    <n v="807.5"/>
    <n v="5"/>
    <n v="166.66"/>
    <x v="4"/>
  </r>
  <r>
    <s v="ORD-0356"/>
    <x v="222"/>
    <x v="3"/>
    <x v="3"/>
    <x v="7"/>
    <s v="CUST-068"/>
    <n v="17.100000000000001"/>
    <n v="2"/>
    <n v="3.28"/>
    <x v="4"/>
  </r>
  <r>
    <s v="ORD-0357"/>
    <x v="223"/>
    <x v="0"/>
    <x v="1"/>
    <x v="1"/>
    <s v="CUST-047"/>
    <n v="1998"/>
    <n v="3"/>
    <n v="746.7"/>
    <x v="2"/>
  </r>
  <r>
    <s v="ORD-0358"/>
    <x v="41"/>
    <x v="0"/>
    <x v="0"/>
    <x v="6"/>
    <s v="CUST-116"/>
    <n v="277.10000000000002"/>
    <n v="2"/>
    <n v="63.11"/>
    <x v="1"/>
  </r>
  <r>
    <s v="ORD-0359"/>
    <x v="80"/>
    <x v="3"/>
    <x v="1"/>
    <x v="5"/>
    <s v="CUST-015"/>
    <n v="379.95"/>
    <n v="1"/>
    <n v="105.73"/>
    <x v="1"/>
  </r>
  <r>
    <s v="ORD-0360"/>
    <x v="224"/>
    <x v="1"/>
    <x v="0"/>
    <x v="8"/>
    <s v="CUST-004"/>
    <n v="30.4"/>
    <n v="1"/>
    <n v="7.71"/>
    <x v="0"/>
  </r>
  <r>
    <s v="ORD-0361"/>
    <x v="225"/>
    <x v="2"/>
    <x v="0"/>
    <x v="13"/>
    <s v="CUST-062"/>
    <n v="104"/>
    <n v="1"/>
    <n v="45.75"/>
    <x v="0"/>
  </r>
  <r>
    <s v="ORD-0362"/>
    <x v="70"/>
    <x v="0"/>
    <x v="1"/>
    <x v="5"/>
    <s v="CUST-103"/>
    <n v="3360"/>
    <n v="5"/>
    <n v="855.98"/>
    <x v="0"/>
  </r>
  <r>
    <s v="ORD-0363"/>
    <x v="152"/>
    <x v="0"/>
    <x v="2"/>
    <x v="9"/>
    <s v="CUST-141"/>
    <n v="178.5"/>
    <n v="5"/>
    <n v="33.729999999999997"/>
    <x v="1"/>
  </r>
  <r>
    <s v="ORD-0364"/>
    <x v="226"/>
    <x v="3"/>
    <x v="0"/>
    <x v="13"/>
    <s v="CUST-123"/>
    <n v="207"/>
    <n v="2"/>
    <n v="77.98"/>
    <x v="2"/>
  </r>
  <r>
    <s v="ORD-0365"/>
    <x v="227"/>
    <x v="0"/>
    <x v="0"/>
    <x v="13"/>
    <s v="CUST-031"/>
    <n v="115.2"/>
    <n v="4"/>
    <n v="47.19"/>
    <x v="0"/>
  </r>
  <r>
    <s v="ORD-0366"/>
    <x v="162"/>
    <x v="2"/>
    <x v="2"/>
    <x v="2"/>
    <s v="CUST-017"/>
    <n v="793.8"/>
    <n v="3"/>
    <n v="222.52"/>
    <x v="2"/>
  </r>
  <r>
    <s v="ORD-0367"/>
    <x v="201"/>
    <x v="0"/>
    <x v="3"/>
    <x v="4"/>
    <s v="CUST-051"/>
    <n v="80"/>
    <n v="4"/>
    <n v="33.79"/>
    <x v="0"/>
  </r>
  <r>
    <s v="ORD-0368"/>
    <x v="228"/>
    <x v="2"/>
    <x v="3"/>
    <x v="11"/>
    <s v="CUST-126"/>
    <n v="17.100000000000001"/>
    <n v="1"/>
    <n v="3.99"/>
    <x v="2"/>
  </r>
  <r>
    <s v="ORD-0369"/>
    <x v="170"/>
    <x v="2"/>
    <x v="1"/>
    <x v="5"/>
    <s v="CUST-063"/>
    <n v="1431.4"/>
    <n v="2"/>
    <n v="265.95"/>
    <x v="1"/>
  </r>
  <r>
    <s v="ORD-0370"/>
    <x v="145"/>
    <x v="1"/>
    <x v="1"/>
    <x v="1"/>
    <s v="CUST-096"/>
    <n v="1184.4000000000001"/>
    <n v="7"/>
    <n v="378.68"/>
    <x v="2"/>
  </r>
  <r>
    <s v="ORD-0371"/>
    <x v="86"/>
    <x v="2"/>
    <x v="3"/>
    <x v="4"/>
    <s v="CUST-132"/>
    <n v="74.099999999999994"/>
    <n v="2"/>
    <n v="21.02"/>
    <x v="4"/>
  </r>
  <r>
    <s v="ORD-0372"/>
    <x v="229"/>
    <x v="1"/>
    <x v="3"/>
    <x v="7"/>
    <s v="CUST-080"/>
    <n v="336"/>
    <n v="5"/>
    <n v="63.97"/>
    <x v="0"/>
  </r>
  <r>
    <s v="ORD-0373"/>
    <x v="230"/>
    <x v="0"/>
    <x v="0"/>
    <x v="6"/>
    <s v="CUST-057"/>
    <n v="185.3"/>
    <n v="2"/>
    <n v="68.87"/>
    <x v="1"/>
  </r>
  <r>
    <s v="ORD-0374"/>
    <x v="231"/>
    <x v="0"/>
    <x v="1"/>
    <x v="1"/>
    <s v="CUST-072"/>
    <n v="1895.25"/>
    <n v="7"/>
    <n v="426.69"/>
    <x v="4"/>
  </r>
  <r>
    <s v="ORD-0375"/>
    <x v="232"/>
    <x v="2"/>
    <x v="3"/>
    <x v="11"/>
    <s v="CUST-057"/>
    <n v="63.2"/>
    <n v="1"/>
    <n v="22.42"/>
    <x v="0"/>
  </r>
  <r>
    <s v="ORD-0376"/>
    <x v="233"/>
    <x v="3"/>
    <x v="3"/>
    <x v="12"/>
    <s v="CUST-123"/>
    <n v="175.75"/>
    <n v="5"/>
    <n v="58.55"/>
    <x v="4"/>
  </r>
  <r>
    <s v="ORD-0377"/>
    <x v="234"/>
    <x v="0"/>
    <x v="2"/>
    <x v="2"/>
    <s v="CUST-014"/>
    <n v="2921.45"/>
    <n v="7"/>
    <n v="785"/>
    <x v="1"/>
  </r>
  <r>
    <s v="ORD-0378"/>
    <x v="235"/>
    <x v="2"/>
    <x v="0"/>
    <x v="6"/>
    <s v="CUST-136"/>
    <n v="923.4"/>
    <n v="6"/>
    <n v="180.85"/>
    <x v="4"/>
  </r>
  <r>
    <s v="ORD-0379"/>
    <x v="236"/>
    <x v="2"/>
    <x v="2"/>
    <x v="2"/>
    <s v="CUST-082"/>
    <n v="266"/>
    <n v="5"/>
    <n v="111.56"/>
    <x v="4"/>
  </r>
  <r>
    <s v="ORD-0380"/>
    <x v="237"/>
    <x v="1"/>
    <x v="2"/>
    <x v="10"/>
    <s v="CUST-002"/>
    <n v="205.2"/>
    <n v="1"/>
    <n v="63.71"/>
    <x v="4"/>
  </r>
  <r>
    <s v="ORD-0381"/>
    <x v="238"/>
    <x v="1"/>
    <x v="3"/>
    <x v="4"/>
    <s v="CUST-041"/>
    <n v="84.6"/>
    <n v="2"/>
    <n v="36.340000000000003"/>
    <x v="2"/>
  </r>
  <r>
    <s v="ORD-0382"/>
    <x v="239"/>
    <x v="3"/>
    <x v="2"/>
    <x v="10"/>
    <s v="CUST-027"/>
    <n v="393.6"/>
    <n v="4"/>
    <n v="175.51"/>
    <x v="0"/>
  </r>
  <r>
    <s v="ORD-0383"/>
    <x v="240"/>
    <x v="2"/>
    <x v="2"/>
    <x v="9"/>
    <s v="CUST-065"/>
    <n v="73.95"/>
    <n v="1"/>
    <n v="28.3"/>
    <x v="1"/>
  </r>
  <r>
    <s v="ORD-0384"/>
    <x v="185"/>
    <x v="3"/>
    <x v="0"/>
    <x v="13"/>
    <s v="CUST-100"/>
    <n v="83.7"/>
    <n v="1"/>
    <n v="17.71"/>
    <x v="2"/>
  </r>
  <r>
    <s v="ORD-0385"/>
    <x v="241"/>
    <x v="1"/>
    <x v="2"/>
    <x v="2"/>
    <s v="CUST-083"/>
    <n v="414.8"/>
    <n v="1"/>
    <n v="81.8"/>
    <x v="1"/>
  </r>
  <r>
    <s v="ORD-0386"/>
    <x v="43"/>
    <x v="3"/>
    <x v="1"/>
    <x v="15"/>
    <s v="CUST-085"/>
    <n v="608"/>
    <n v="4"/>
    <n v="191.84"/>
    <x v="3"/>
  </r>
  <r>
    <s v="ORD-0387"/>
    <x v="185"/>
    <x v="1"/>
    <x v="0"/>
    <x v="8"/>
    <s v="CUST-017"/>
    <n v="525.6"/>
    <n v="4"/>
    <n v="133.85"/>
    <x v="2"/>
  </r>
  <r>
    <s v="ORD-0388"/>
    <x v="33"/>
    <x v="2"/>
    <x v="0"/>
    <x v="8"/>
    <s v="CUST-110"/>
    <n v="45.05"/>
    <n v="1"/>
    <n v="20.11"/>
    <x v="1"/>
  </r>
  <r>
    <s v="ORD-0389"/>
    <x v="180"/>
    <x v="0"/>
    <x v="1"/>
    <x v="3"/>
    <s v="CUST-016"/>
    <n v="675"/>
    <n v="2"/>
    <n v="264.5"/>
    <x v="2"/>
  </r>
  <r>
    <s v="ORD-0390"/>
    <x v="242"/>
    <x v="1"/>
    <x v="2"/>
    <x v="2"/>
    <s v="CUST-131"/>
    <n v="2243.15"/>
    <n v="7"/>
    <n v="444.52"/>
    <x v="1"/>
  </r>
  <r>
    <s v="ORD-0391"/>
    <x v="130"/>
    <x v="2"/>
    <x v="2"/>
    <x v="2"/>
    <s v="CUST-039"/>
    <n v="263.14999999999998"/>
    <n v="1"/>
    <n v="88.04"/>
    <x v="4"/>
  </r>
  <r>
    <s v="ORD-0392"/>
    <x v="243"/>
    <x v="0"/>
    <x v="1"/>
    <x v="1"/>
    <s v="CUST-123"/>
    <n v="2782.8"/>
    <n v="4"/>
    <n v="910.88"/>
    <x v="2"/>
  </r>
  <r>
    <s v="ORD-0393"/>
    <x v="33"/>
    <x v="3"/>
    <x v="3"/>
    <x v="12"/>
    <s v="CUST-139"/>
    <n v="69.7"/>
    <n v="2"/>
    <n v="23.47"/>
    <x v="1"/>
  </r>
  <r>
    <s v="ORD-0394"/>
    <x v="80"/>
    <x v="1"/>
    <x v="2"/>
    <x v="9"/>
    <s v="CUST-129"/>
    <n v="1138.5"/>
    <n v="5"/>
    <n v="361.36"/>
    <x v="2"/>
  </r>
  <r>
    <s v="ORD-0395"/>
    <x v="159"/>
    <x v="2"/>
    <x v="0"/>
    <x v="6"/>
    <s v="CUST-092"/>
    <n v="686.4"/>
    <n v="6"/>
    <n v="279.14"/>
    <x v="0"/>
  </r>
  <r>
    <s v="ORD-0396"/>
    <x v="244"/>
    <x v="1"/>
    <x v="1"/>
    <x v="15"/>
    <s v="CUST-140"/>
    <n v="4410"/>
    <n v="7"/>
    <n v="1024.98"/>
    <x v="2"/>
  </r>
  <r>
    <s v="ORD-0397"/>
    <x v="93"/>
    <x v="2"/>
    <x v="3"/>
    <x v="7"/>
    <s v="CUST-055"/>
    <n v="123.5"/>
    <n v="2"/>
    <n v="27.95"/>
    <x v="4"/>
  </r>
  <r>
    <s v="ORD-0398"/>
    <x v="174"/>
    <x v="2"/>
    <x v="2"/>
    <x v="10"/>
    <s v="CUST-113"/>
    <n v="498.75"/>
    <n v="7"/>
    <n v="187.88"/>
    <x v="4"/>
  </r>
  <r>
    <s v="ORD-0399"/>
    <x v="122"/>
    <x v="2"/>
    <x v="1"/>
    <x v="5"/>
    <s v="CUST-076"/>
    <n v="85"/>
    <n v="1"/>
    <n v="18.54"/>
    <x v="3"/>
  </r>
  <r>
    <s v="ORD-0400"/>
    <x v="245"/>
    <x v="0"/>
    <x v="0"/>
    <x v="0"/>
    <s v="CUST-141"/>
    <n v="423"/>
    <n v="3"/>
    <n v="172.03"/>
    <x v="3"/>
  </r>
  <r>
    <s v="ORD-0401"/>
    <x v="246"/>
    <x v="3"/>
    <x v="3"/>
    <x v="12"/>
    <s v="CUST-134"/>
    <n v="196"/>
    <n v="4"/>
    <n v="49.01"/>
    <x v="3"/>
  </r>
  <r>
    <s v="ORD-0402"/>
    <x v="166"/>
    <x v="3"/>
    <x v="3"/>
    <x v="12"/>
    <s v="CUST-115"/>
    <n v="204"/>
    <n v="6"/>
    <n v="68.989999999999995"/>
    <x v="3"/>
  </r>
  <r>
    <s v="ORD-0403"/>
    <x v="40"/>
    <x v="1"/>
    <x v="3"/>
    <x v="12"/>
    <s v="CUST-107"/>
    <n v="73.8"/>
    <n v="1"/>
    <n v="26.52"/>
    <x v="2"/>
  </r>
  <r>
    <s v="ORD-0404"/>
    <x v="247"/>
    <x v="0"/>
    <x v="1"/>
    <x v="5"/>
    <s v="CUST-141"/>
    <n v="2447.1999999999998"/>
    <n v="7"/>
    <n v="829.1"/>
    <x v="4"/>
  </r>
  <r>
    <s v="ORD-0405"/>
    <x v="125"/>
    <x v="1"/>
    <x v="2"/>
    <x v="9"/>
    <s v="CUST-088"/>
    <n v="753.6"/>
    <n v="2"/>
    <n v="315.27"/>
    <x v="0"/>
  </r>
  <r>
    <s v="ORD-0406"/>
    <x v="71"/>
    <x v="0"/>
    <x v="2"/>
    <x v="9"/>
    <s v="CUST-053"/>
    <n v="2293.1999999999998"/>
    <n v="7"/>
    <n v="905.43"/>
    <x v="2"/>
  </r>
  <r>
    <s v="ORD-0407"/>
    <x v="217"/>
    <x v="1"/>
    <x v="1"/>
    <x v="5"/>
    <s v="CUST-144"/>
    <n v="2918.4"/>
    <n v="6"/>
    <n v="818.1"/>
    <x v="0"/>
  </r>
  <r>
    <s v="ORD-0408"/>
    <x v="174"/>
    <x v="2"/>
    <x v="1"/>
    <x v="15"/>
    <s v="CUST-108"/>
    <n v="486.4"/>
    <n v="4"/>
    <n v="111.01"/>
    <x v="0"/>
  </r>
  <r>
    <s v="ORD-0409"/>
    <x v="140"/>
    <x v="0"/>
    <x v="0"/>
    <x v="13"/>
    <s v="CUST-139"/>
    <n v="153.9"/>
    <n v="1"/>
    <n v="33.729999999999997"/>
    <x v="2"/>
  </r>
  <r>
    <s v="ORD-0410"/>
    <x v="230"/>
    <x v="3"/>
    <x v="1"/>
    <x v="15"/>
    <s v="CUST-104"/>
    <n v="775.2"/>
    <n v="6"/>
    <n v="334.82"/>
    <x v="4"/>
  </r>
  <r>
    <s v="ORD-0411"/>
    <x v="248"/>
    <x v="3"/>
    <x v="3"/>
    <x v="7"/>
    <s v="CUST-079"/>
    <n v="186.2"/>
    <n v="4"/>
    <n v="64.91"/>
    <x v="4"/>
  </r>
  <r>
    <s v="ORD-0412"/>
    <x v="212"/>
    <x v="1"/>
    <x v="3"/>
    <x v="4"/>
    <s v="CUST-059"/>
    <n v="391.5"/>
    <n v="5"/>
    <n v="139.12"/>
    <x v="2"/>
  </r>
  <r>
    <s v="ORD-0413"/>
    <x v="249"/>
    <x v="0"/>
    <x v="0"/>
    <x v="13"/>
    <s v="CUST-130"/>
    <n v="494"/>
    <n v="4"/>
    <n v="175.62"/>
    <x v="4"/>
  </r>
  <r>
    <s v="ORD-0414"/>
    <x v="190"/>
    <x v="3"/>
    <x v="2"/>
    <x v="10"/>
    <s v="CUST-058"/>
    <n v="198"/>
    <n v="1"/>
    <n v="58.04"/>
    <x v="3"/>
  </r>
  <r>
    <s v="ORD-0415"/>
    <x v="250"/>
    <x v="1"/>
    <x v="1"/>
    <x v="1"/>
    <s v="CUST-009"/>
    <n v="3765.5"/>
    <n v="5"/>
    <n v="939.84"/>
    <x v="1"/>
  </r>
  <r>
    <s v="ORD-0416"/>
    <x v="4"/>
    <x v="1"/>
    <x v="0"/>
    <x v="0"/>
    <s v="CUST-062"/>
    <n v="853.2"/>
    <n v="6"/>
    <n v="284.14999999999998"/>
    <x v="2"/>
  </r>
  <r>
    <s v="ORD-0417"/>
    <x v="251"/>
    <x v="0"/>
    <x v="2"/>
    <x v="10"/>
    <s v="CUST-130"/>
    <n v="554.4"/>
    <n v="2"/>
    <n v="221.73"/>
    <x v="2"/>
  </r>
  <r>
    <s v="ORD-0418"/>
    <x v="110"/>
    <x v="1"/>
    <x v="2"/>
    <x v="2"/>
    <s v="CUST-115"/>
    <n v="1356"/>
    <n v="4"/>
    <n v="396.14"/>
    <x v="3"/>
  </r>
  <r>
    <s v="ORD-0419"/>
    <x v="252"/>
    <x v="0"/>
    <x v="2"/>
    <x v="14"/>
    <s v="CUST-061"/>
    <n v="526"/>
    <n v="2"/>
    <n v="199.2"/>
    <x v="3"/>
  </r>
  <r>
    <s v="ORD-0420"/>
    <x v="222"/>
    <x v="3"/>
    <x v="1"/>
    <x v="15"/>
    <s v="CUST-132"/>
    <n v="1057.5"/>
    <n v="5"/>
    <n v="305.89999999999998"/>
    <x v="2"/>
  </r>
  <r>
    <s v="ORD-0421"/>
    <x v="253"/>
    <x v="2"/>
    <x v="3"/>
    <x v="7"/>
    <s v="CUST-063"/>
    <n v="560"/>
    <n v="7"/>
    <n v="186.63"/>
    <x v="3"/>
  </r>
  <r>
    <s v="ORD-0422"/>
    <x v="134"/>
    <x v="3"/>
    <x v="2"/>
    <x v="2"/>
    <s v="CUST-134"/>
    <n v="540"/>
    <n v="5"/>
    <n v="151.13999999999999"/>
    <x v="0"/>
  </r>
  <r>
    <s v="ORD-0423"/>
    <x v="240"/>
    <x v="1"/>
    <x v="1"/>
    <x v="1"/>
    <s v="CUST-075"/>
    <n v="3734.4"/>
    <n v="6"/>
    <n v="848.22"/>
    <x v="0"/>
  </r>
  <r>
    <s v="ORD-0424"/>
    <x v="254"/>
    <x v="0"/>
    <x v="1"/>
    <x v="15"/>
    <s v="CUST-061"/>
    <n v="3599.75"/>
    <n v="5"/>
    <n v="1302.42"/>
    <x v="1"/>
  </r>
  <r>
    <s v="ORD-0425"/>
    <x v="237"/>
    <x v="1"/>
    <x v="2"/>
    <x v="14"/>
    <s v="CUST-149"/>
    <n v="1560"/>
    <n v="5"/>
    <n v="568.01"/>
    <x v="0"/>
  </r>
  <r>
    <s v="ORD-0426"/>
    <x v="69"/>
    <x v="1"/>
    <x v="0"/>
    <x v="13"/>
    <s v="CUST-099"/>
    <n v="139.65"/>
    <n v="3"/>
    <n v="36.22"/>
    <x v="4"/>
  </r>
  <r>
    <s v="ORD-0427"/>
    <x v="233"/>
    <x v="0"/>
    <x v="0"/>
    <x v="0"/>
    <s v="CUST-074"/>
    <n v="412.25"/>
    <n v="5"/>
    <n v="75.239999999999995"/>
    <x v="1"/>
  </r>
  <r>
    <s v="ORD-0428"/>
    <x v="103"/>
    <x v="1"/>
    <x v="1"/>
    <x v="3"/>
    <s v="CUST-059"/>
    <n v="319.5"/>
    <n v="1"/>
    <n v="63.62"/>
    <x v="2"/>
  </r>
  <r>
    <s v="ORD-0429"/>
    <x v="172"/>
    <x v="0"/>
    <x v="1"/>
    <x v="3"/>
    <s v="CUST-032"/>
    <n v="3650.75"/>
    <n v="5"/>
    <n v="716.34"/>
    <x v="1"/>
  </r>
  <r>
    <s v="ORD-0430"/>
    <x v="159"/>
    <x v="0"/>
    <x v="0"/>
    <x v="8"/>
    <s v="CUST-059"/>
    <n v="241.2"/>
    <n v="2"/>
    <n v="97.64"/>
    <x v="2"/>
  </r>
  <r>
    <s v="ORD-0431"/>
    <x v="158"/>
    <x v="2"/>
    <x v="0"/>
    <x v="8"/>
    <s v="CUST-143"/>
    <n v="164"/>
    <n v="1"/>
    <n v="45.64"/>
    <x v="3"/>
  </r>
  <r>
    <s v="ORD-0432"/>
    <x v="171"/>
    <x v="2"/>
    <x v="3"/>
    <x v="4"/>
    <s v="CUST-119"/>
    <n v="285"/>
    <n v="6"/>
    <n v="126.78"/>
    <x v="4"/>
  </r>
  <r>
    <s v="ORD-0433"/>
    <x v="49"/>
    <x v="3"/>
    <x v="0"/>
    <x v="6"/>
    <s v="CUST-013"/>
    <n v="831.6"/>
    <n v="7"/>
    <n v="230.74"/>
    <x v="2"/>
  </r>
  <r>
    <s v="ORD-0434"/>
    <x v="151"/>
    <x v="1"/>
    <x v="1"/>
    <x v="15"/>
    <s v="CUST-043"/>
    <n v="3899.75"/>
    <n v="5"/>
    <n v="975.12"/>
    <x v="4"/>
  </r>
  <r>
    <s v="ORD-0435"/>
    <x v="236"/>
    <x v="0"/>
    <x v="2"/>
    <x v="10"/>
    <s v="CUST-007"/>
    <n v="1925.25"/>
    <n v="5"/>
    <n v="738.34"/>
    <x v="1"/>
  </r>
  <r>
    <s v="ORD-0436"/>
    <x v="50"/>
    <x v="2"/>
    <x v="3"/>
    <x v="11"/>
    <s v="CUST-119"/>
    <n v="171"/>
    <n v="3"/>
    <n v="30.91"/>
    <x v="3"/>
  </r>
  <r>
    <s v="ORD-0437"/>
    <x v="133"/>
    <x v="1"/>
    <x v="1"/>
    <x v="1"/>
    <s v="CUST-017"/>
    <n v="4081.7"/>
    <n v="7"/>
    <n v="1762.91"/>
    <x v="1"/>
  </r>
  <r>
    <s v="ORD-0438"/>
    <x v="83"/>
    <x v="1"/>
    <x v="3"/>
    <x v="12"/>
    <s v="CUST-050"/>
    <n v="275.39999999999998"/>
    <n v="6"/>
    <n v="111.43"/>
    <x v="1"/>
  </r>
  <r>
    <s v="ORD-0439"/>
    <x v="74"/>
    <x v="1"/>
    <x v="2"/>
    <x v="10"/>
    <s v="CUST-040"/>
    <n v="496"/>
    <n v="2"/>
    <n v="121.52"/>
    <x v="0"/>
  </r>
  <r>
    <s v="ORD-0440"/>
    <x v="161"/>
    <x v="3"/>
    <x v="3"/>
    <x v="4"/>
    <s v="CUST-039"/>
    <n v="380.8"/>
    <n v="7"/>
    <n v="147.44999999999999"/>
    <x v="0"/>
  </r>
  <r>
    <s v="ORD-0441"/>
    <x v="252"/>
    <x v="0"/>
    <x v="3"/>
    <x v="11"/>
    <s v="CUST-088"/>
    <n v="102"/>
    <n v="4"/>
    <n v="41.85"/>
    <x v="1"/>
  </r>
  <r>
    <s v="ORD-0442"/>
    <x v="255"/>
    <x v="2"/>
    <x v="0"/>
    <x v="0"/>
    <s v="CUST-010"/>
    <n v="267.75"/>
    <n v="7"/>
    <n v="75.87"/>
    <x v="1"/>
  </r>
  <r>
    <s v="ORD-0443"/>
    <x v="37"/>
    <x v="0"/>
    <x v="3"/>
    <x v="4"/>
    <s v="CUST-057"/>
    <n v="384"/>
    <n v="6"/>
    <n v="127"/>
    <x v="3"/>
  </r>
  <r>
    <s v="ORD-0444"/>
    <x v="256"/>
    <x v="0"/>
    <x v="0"/>
    <x v="13"/>
    <s v="CUST-145"/>
    <n v="92"/>
    <n v="5"/>
    <n v="32.78"/>
    <x v="0"/>
  </r>
  <r>
    <s v="ORD-0445"/>
    <x v="6"/>
    <x v="0"/>
    <x v="0"/>
    <x v="13"/>
    <s v="CUST-082"/>
    <n v="189"/>
    <n v="7"/>
    <n v="37.06"/>
    <x v="3"/>
  </r>
  <r>
    <s v="ORD-0446"/>
    <x v="105"/>
    <x v="1"/>
    <x v="1"/>
    <x v="1"/>
    <s v="CUST-018"/>
    <n v="447.1"/>
    <n v="1"/>
    <n v="157.57"/>
    <x v="1"/>
  </r>
  <r>
    <s v="ORD-0447"/>
    <x v="257"/>
    <x v="3"/>
    <x v="3"/>
    <x v="7"/>
    <s v="CUST-077"/>
    <n v="369.6"/>
    <n v="7"/>
    <n v="77.52"/>
    <x v="0"/>
  </r>
  <r>
    <s v="ORD-0448"/>
    <x v="189"/>
    <x v="2"/>
    <x v="1"/>
    <x v="1"/>
    <s v="CUST-120"/>
    <n v="593.29999999999995"/>
    <n v="2"/>
    <n v="178.45"/>
    <x v="1"/>
  </r>
  <r>
    <s v="ORD-0449"/>
    <x v="258"/>
    <x v="1"/>
    <x v="3"/>
    <x v="11"/>
    <s v="CUST-062"/>
    <n v="403.2"/>
    <n v="6"/>
    <n v="118.67"/>
    <x v="0"/>
  </r>
  <r>
    <s v="ORD-0450"/>
    <x v="16"/>
    <x v="0"/>
    <x v="1"/>
    <x v="15"/>
    <s v="CUST-093"/>
    <n v="3364.2"/>
    <n v="6"/>
    <n v="1207.3499999999999"/>
    <x v="2"/>
  </r>
  <r>
    <s v="ORD-0451"/>
    <x v="215"/>
    <x v="2"/>
    <x v="0"/>
    <x v="8"/>
    <s v="CUST-127"/>
    <n v="676.8"/>
    <n v="6"/>
    <n v="144.84"/>
    <x v="0"/>
  </r>
  <r>
    <s v="ORD-0452"/>
    <x v="62"/>
    <x v="1"/>
    <x v="2"/>
    <x v="2"/>
    <s v="CUST-058"/>
    <n v="207.4"/>
    <n v="1"/>
    <n v="67.66"/>
    <x v="1"/>
  </r>
  <r>
    <s v="ORD-0453"/>
    <x v="259"/>
    <x v="2"/>
    <x v="3"/>
    <x v="12"/>
    <s v="CUST-016"/>
    <n v="32.4"/>
    <n v="3"/>
    <n v="12.5"/>
    <x v="2"/>
  </r>
  <r>
    <s v="ORD-0454"/>
    <x v="260"/>
    <x v="3"/>
    <x v="0"/>
    <x v="13"/>
    <s v="CUST-013"/>
    <n v="250.8"/>
    <n v="6"/>
    <n v="85.92"/>
    <x v="4"/>
  </r>
  <r>
    <s v="ORD-0455"/>
    <x v="190"/>
    <x v="1"/>
    <x v="0"/>
    <x v="8"/>
    <s v="CUST-108"/>
    <n v="372.6"/>
    <n v="6"/>
    <n v="105.79"/>
    <x v="2"/>
  </r>
  <r>
    <s v="ORD-0456"/>
    <x v="261"/>
    <x v="0"/>
    <x v="0"/>
    <x v="8"/>
    <s v="CUST-001"/>
    <n v="1204"/>
    <n v="7"/>
    <n v="399.36"/>
    <x v="3"/>
  </r>
  <r>
    <s v="ORD-0457"/>
    <x v="109"/>
    <x v="0"/>
    <x v="3"/>
    <x v="7"/>
    <s v="CUST-012"/>
    <n v="91.8"/>
    <n v="3"/>
    <n v="23.35"/>
    <x v="1"/>
  </r>
  <r>
    <s v="ORD-0458"/>
    <x v="262"/>
    <x v="2"/>
    <x v="1"/>
    <x v="3"/>
    <s v="CUST-085"/>
    <n v="1562"/>
    <n v="2"/>
    <n v="614.01"/>
    <x v="3"/>
  </r>
  <r>
    <s v="ORD-0459"/>
    <x v="155"/>
    <x v="1"/>
    <x v="3"/>
    <x v="7"/>
    <s v="CUST-115"/>
    <n v="196.8"/>
    <n v="6"/>
    <n v="44.62"/>
    <x v="0"/>
  </r>
  <r>
    <s v="ORD-0460"/>
    <x v="52"/>
    <x v="0"/>
    <x v="0"/>
    <x v="0"/>
    <s v="CUST-028"/>
    <n v="65.45"/>
    <n v="1"/>
    <n v="18.899999999999999"/>
    <x v="1"/>
  </r>
  <r>
    <s v="ORD-0461"/>
    <x v="47"/>
    <x v="3"/>
    <x v="2"/>
    <x v="2"/>
    <s v="CUST-013"/>
    <n v="2726.5"/>
    <n v="7"/>
    <n v="554.87"/>
    <x v="4"/>
  </r>
  <r>
    <s v="ORD-0462"/>
    <x v="10"/>
    <x v="1"/>
    <x v="3"/>
    <x v="12"/>
    <s v="CUST-028"/>
    <n v="52.7"/>
    <n v="1"/>
    <n v="18.88"/>
    <x v="1"/>
  </r>
  <r>
    <s v="ORD-0463"/>
    <x v="207"/>
    <x v="3"/>
    <x v="1"/>
    <x v="15"/>
    <s v="CUST-132"/>
    <n v="1521.5"/>
    <n v="2"/>
    <n v="608.37"/>
    <x v="1"/>
  </r>
  <r>
    <s v="ORD-0464"/>
    <x v="263"/>
    <x v="2"/>
    <x v="2"/>
    <x v="10"/>
    <s v="CUST-025"/>
    <n v="1035.3"/>
    <n v="3"/>
    <n v="389.59"/>
    <x v="1"/>
  </r>
  <r>
    <s v="ORD-0465"/>
    <x v="10"/>
    <x v="3"/>
    <x v="0"/>
    <x v="13"/>
    <s v="CUST-067"/>
    <n v="376.2"/>
    <n v="3"/>
    <n v="103.52"/>
    <x v="4"/>
  </r>
  <r>
    <s v="ORD-0466"/>
    <x v="168"/>
    <x v="3"/>
    <x v="3"/>
    <x v="11"/>
    <s v="CUST-095"/>
    <n v="99.45"/>
    <n v="3"/>
    <n v="21.53"/>
    <x v="1"/>
  </r>
  <r>
    <s v="ORD-0467"/>
    <x v="13"/>
    <x v="3"/>
    <x v="2"/>
    <x v="10"/>
    <s v="CUST-131"/>
    <n v="684"/>
    <n v="4"/>
    <n v="226.53"/>
    <x v="3"/>
  </r>
  <r>
    <s v="ORD-0468"/>
    <x v="96"/>
    <x v="3"/>
    <x v="2"/>
    <x v="9"/>
    <s v="CUST-046"/>
    <n v="124"/>
    <n v="1"/>
    <n v="39.299999999999997"/>
    <x v="0"/>
  </r>
  <r>
    <s v="ORD-0469"/>
    <x v="99"/>
    <x v="1"/>
    <x v="1"/>
    <x v="5"/>
    <s v="CUST-104"/>
    <n v="126.65"/>
    <n v="1"/>
    <n v="37.11"/>
    <x v="1"/>
  </r>
  <r>
    <s v="ORD-0470"/>
    <x v="179"/>
    <x v="2"/>
    <x v="0"/>
    <x v="0"/>
    <s v="CUST-005"/>
    <n v="387.6"/>
    <n v="3"/>
    <n v="173.29"/>
    <x v="1"/>
  </r>
  <r>
    <s v="ORD-0471"/>
    <x v="264"/>
    <x v="2"/>
    <x v="2"/>
    <x v="9"/>
    <s v="CUST-059"/>
    <n v="304"/>
    <n v="5"/>
    <n v="88.78"/>
    <x v="0"/>
  </r>
  <r>
    <s v="ORD-0472"/>
    <x v="129"/>
    <x v="0"/>
    <x v="3"/>
    <x v="12"/>
    <s v="CUST-090"/>
    <n v="30.6"/>
    <n v="1"/>
    <n v="9.3699999999999992"/>
    <x v="2"/>
  </r>
  <r>
    <s v="ORD-0473"/>
    <x v="213"/>
    <x v="2"/>
    <x v="1"/>
    <x v="3"/>
    <s v="CUST-031"/>
    <n v="3668"/>
    <n v="7"/>
    <n v="1619.13"/>
    <x v="3"/>
  </r>
  <r>
    <s v="ORD-0474"/>
    <x v="261"/>
    <x v="3"/>
    <x v="3"/>
    <x v="11"/>
    <s v="CUST-149"/>
    <n v="20"/>
    <n v="4"/>
    <n v="8.26"/>
    <x v="3"/>
  </r>
  <r>
    <s v="ORD-0475"/>
    <x v="49"/>
    <x v="2"/>
    <x v="0"/>
    <x v="8"/>
    <s v="CUST-145"/>
    <n v="132"/>
    <n v="6"/>
    <n v="47.7"/>
    <x v="3"/>
  </r>
  <r>
    <s v="ORD-0476"/>
    <x v="43"/>
    <x v="2"/>
    <x v="2"/>
    <x v="9"/>
    <s v="CUST-060"/>
    <n v="1444.8"/>
    <n v="6"/>
    <n v="425.28"/>
    <x v="0"/>
  </r>
  <r>
    <s v="ORD-0477"/>
    <x v="265"/>
    <x v="3"/>
    <x v="2"/>
    <x v="9"/>
    <s v="CUST-020"/>
    <n v="1960.8"/>
    <n v="6"/>
    <n v="865.07"/>
    <x v="4"/>
  </r>
  <r>
    <s v="ORD-0478"/>
    <x v="215"/>
    <x v="0"/>
    <x v="2"/>
    <x v="2"/>
    <s v="CUST-128"/>
    <n v="843"/>
    <n v="3"/>
    <n v="168.1"/>
    <x v="3"/>
  </r>
  <r>
    <s v="ORD-0479"/>
    <x v="145"/>
    <x v="0"/>
    <x v="3"/>
    <x v="7"/>
    <s v="CUST-122"/>
    <n v="535.5"/>
    <n v="7"/>
    <n v="189.7"/>
    <x v="2"/>
  </r>
  <r>
    <s v="ORD-0480"/>
    <x v="47"/>
    <x v="2"/>
    <x v="3"/>
    <x v="4"/>
    <s v="CUST-058"/>
    <n v="270"/>
    <n v="5"/>
    <n v="89.12"/>
    <x v="3"/>
  </r>
  <r>
    <s v="ORD-0481"/>
    <x v="255"/>
    <x v="1"/>
    <x v="3"/>
    <x v="12"/>
    <s v="CUST-090"/>
    <n v="198"/>
    <n v="5"/>
    <n v="87.54"/>
    <x v="2"/>
  </r>
  <r>
    <s v="ORD-0482"/>
    <x v="248"/>
    <x v="3"/>
    <x v="3"/>
    <x v="4"/>
    <s v="CUST-008"/>
    <n v="54"/>
    <n v="5"/>
    <n v="20.48"/>
    <x v="2"/>
  </r>
  <r>
    <s v="ORD-0483"/>
    <x v="238"/>
    <x v="3"/>
    <x v="0"/>
    <x v="0"/>
    <s v="CUST-114"/>
    <n v="500.4"/>
    <n v="4"/>
    <n v="212.83"/>
    <x v="2"/>
  </r>
  <r>
    <s v="ORD-0484"/>
    <x v="266"/>
    <x v="3"/>
    <x v="1"/>
    <x v="5"/>
    <s v="CUST-122"/>
    <n v="2008"/>
    <n v="5"/>
    <n v="546.83000000000004"/>
    <x v="0"/>
  </r>
  <r>
    <s v="ORD-0485"/>
    <x v="249"/>
    <x v="2"/>
    <x v="1"/>
    <x v="15"/>
    <s v="CUST-006"/>
    <n v="315.39999999999998"/>
    <n v="4"/>
    <n v="70.040000000000006"/>
    <x v="4"/>
  </r>
  <r>
    <s v="ORD-0486"/>
    <x v="267"/>
    <x v="2"/>
    <x v="3"/>
    <x v="4"/>
    <s v="CUST-133"/>
    <n v="40.5"/>
    <n v="3"/>
    <n v="7.53"/>
    <x v="2"/>
  </r>
  <r>
    <s v="ORD-0487"/>
    <x v="170"/>
    <x v="2"/>
    <x v="3"/>
    <x v="12"/>
    <s v="CUST-060"/>
    <n v="72"/>
    <n v="6"/>
    <n v="13.15"/>
    <x v="0"/>
  </r>
  <r>
    <s v="ORD-0488"/>
    <x v="85"/>
    <x v="2"/>
    <x v="3"/>
    <x v="7"/>
    <s v="CUST-047"/>
    <n v="438.9"/>
    <n v="6"/>
    <n v="123.71"/>
    <x v="4"/>
  </r>
  <r>
    <s v="ORD-0489"/>
    <x v="121"/>
    <x v="3"/>
    <x v="3"/>
    <x v="4"/>
    <s v="CUST-119"/>
    <n v="192.85"/>
    <n v="7"/>
    <n v="40.03"/>
    <x v="4"/>
  </r>
  <r>
    <s v="ORD-0490"/>
    <x v="89"/>
    <x v="2"/>
    <x v="0"/>
    <x v="8"/>
    <s v="CUST-149"/>
    <n v="123.5"/>
    <n v="1"/>
    <n v="53.01"/>
    <x v="4"/>
  </r>
  <r>
    <s v="ORD-0491"/>
    <x v="142"/>
    <x v="3"/>
    <x v="2"/>
    <x v="9"/>
    <s v="CUST-054"/>
    <n v="1649.2"/>
    <n v="7"/>
    <n v="329.6"/>
    <x v="4"/>
  </r>
  <r>
    <s v="ORD-0492"/>
    <x v="197"/>
    <x v="1"/>
    <x v="0"/>
    <x v="6"/>
    <s v="CUST-042"/>
    <n v="104"/>
    <n v="1"/>
    <n v="24.69"/>
    <x v="3"/>
  </r>
  <r>
    <s v="ORD-0493"/>
    <x v="109"/>
    <x v="0"/>
    <x v="3"/>
    <x v="4"/>
    <s v="CUST-111"/>
    <n v="139.5"/>
    <n v="5"/>
    <n v="41.45"/>
    <x v="2"/>
  </r>
  <r>
    <s v="ORD-0494"/>
    <x v="268"/>
    <x v="2"/>
    <x v="0"/>
    <x v="13"/>
    <s v="CUST-008"/>
    <n v="319.2"/>
    <n v="7"/>
    <n v="116.27"/>
    <x v="0"/>
  </r>
  <r>
    <s v="ORD-0495"/>
    <x v="269"/>
    <x v="1"/>
    <x v="1"/>
    <x v="15"/>
    <s v="CUST-014"/>
    <n v="2975"/>
    <n v="4"/>
    <n v="1107.95"/>
    <x v="1"/>
  </r>
  <r>
    <s v="ORD-0496"/>
    <x v="78"/>
    <x v="0"/>
    <x v="2"/>
    <x v="14"/>
    <s v="CUST-019"/>
    <n v="652"/>
    <n v="5"/>
    <n v="234.53"/>
    <x v="0"/>
  </r>
  <r>
    <s v="ORD-0497"/>
    <x v="189"/>
    <x v="3"/>
    <x v="1"/>
    <x v="15"/>
    <s v="CUST-063"/>
    <n v="607.75"/>
    <n v="5"/>
    <n v="183.66"/>
    <x v="1"/>
  </r>
  <r>
    <s v="ORD-0498"/>
    <x v="68"/>
    <x v="0"/>
    <x v="3"/>
    <x v="12"/>
    <s v="CUST-034"/>
    <n v="372.3"/>
    <n v="6"/>
    <n v="108.75"/>
    <x v="1"/>
  </r>
  <r>
    <s v="ORD-0499"/>
    <x v="214"/>
    <x v="0"/>
    <x v="1"/>
    <x v="3"/>
    <s v="CUST-147"/>
    <n v="1530"/>
    <n v="6"/>
    <n v="559.65"/>
    <x v="1"/>
  </r>
  <r>
    <s v="ORD-0500"/>
    <x v="265"/>
    <x v="1"/>
    <x v="2"/>
    <x v="2"/>
    <s v="CUST-087"/>
    <n v="1271.5999999999999"/>
    <n v="4"/>
    <n v="535.9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4252D-AD7C-473E-B00C-08F1D751F22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4">
  <location ref="A3:B16" firstHeaderRow="1" firstDataRow="1" firstDataCol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 measureFilter="1">
      <items count="18">
        <item x="14"/>
        <item x="9"/>
        <item x="2"/>
        <item x="3"/>
        <item x="6"/>
        <item x="13"/>
        <item x="1"/>
        <item x="5"/>
        <item x="15"/>
        <item x="11"/>
        <item x="12"/>
        <item x="7"/>
        <item x="0"/>
        <item x="4"/>
        <item x="10"/>
        <item x="8"/>
        <item x="16"/>
        <item t="default"/>
      </items>
    </pivotField>
    <pivotField showAll="0"/>
    <pivotField dataField="1" showAll="0"/>
    <pivotField showAll="0"/>
    <pivotField numFmtId="2" showAll="0"/>
    <pivotField showAll="0">
      <items count="7">
        <item x="3"/>
        <item x="4"/>
        <item x="2"/>
        <item x="1"/>
        <item x="0"/>
        <item x="5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6" baseField="0" baseItem="0"/>
  </dataFields>
  <formats count="3">
    <format dxfId="5">
      <pivotArea dataOnly="0" outline="0" fieldPosition="0">
        <references count="1">
          <reference field="4294967294" count="1">
            <x v="0"/>
          </reference>
        </references>
      </pivotArea>
    </format>
    <format dxfId="4">
      <pivotArea dataOnly="0" outline="0" fieldPosition="0">
        <references count="1">
          <reference field="4294967294" count="1">
            <x v="0"/>
          </reference>
        </references>
      </pivotArea>
    </format>
    <format dxfId="3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14800-E7F5-4C26-B2DF-8F64E5378C37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8" firstHeaderRow="1" firstDataRow="1" firstDataCol="1"/>
  <pivotFields count="11">
    <pivotField showAll="0"/>
    <pivotField numFmtId="1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numFmtId="2" showAll="0"/>
    <pivotField showAll="0"/>
    <pivotField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AAE14-B2D3-418E-A984-E33AAB9FE0C2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7" firstHeaderRow="1" firstDataRow="1" firstDataCol="1"/>
  <pivotFields count="11">
    <pivotField showAll="0"/>
    <pivotField numFmtId="14" showAll="0"/>
    <pivotField showAll="0"/>
    <pivotField showAll="0"/>
    <pivotField axis="axisRow" showAll="0" measureFilter="1">
      <items count="18">
        <item x="14"/>
        <item x="9"/>
        <item x="2"/>
        <item x="3"/>
        <item x="6"/>
        <item x="13"/>
        <item x="1"/>
        <item x="5"/>
        <item x="15"/>
        <item x="11"/>
        <item x="12"/>
        <item x="7"/>
        <item x="0"/>
        <item x="4"/>
        <item x="10"/>
        <item x="8"/>
        <item x="16"/>
        <item t="default"/>
      </items>
    </pivotField>
    <pivotField showAll="0"/>
    <pivotField dataField="1" showAll="0"/>
    <pivotField showAll="0"/>
    <pivotField numFmtId="2" showAll="0"/>
    <pivotField showAll="0"/>
    <pivotField showAll="0" defaultSubtotal="0"/>
  </pivotFields>
  <rowFields count="1">
    <field x="4"/>
  </rowFields>
  <rowItems count="4">
    <i>
      <x v="3"/>
    </i>
    <i>
      <x v="6"/>
    </i>
    <i>
      <x v="7"/>
    </i>
    <i t="grand">
      <x/>
    </i>
  </rowItems>
  <colItems count="1">
    <i/>
  </colItems>
  <dataFields count="1">
    <dataField name="Sum of Sales" fld="6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03A38-D84A-42CC-B600-D41AC109A7B6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8" firstHeaderRow="1" firstDataRow="1" firstDataCol="1"/>
  <pivotFields count="11">
    <pivotField showAll="0"/>
    <pivotField numFmtId="14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numFmtId="2" showAll="0"/>
    <pivotField showAll="0"/>
    <pivotField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AF6A-E513-4524-B877-F58642116947}">
  <dimension ref="A3:AB16"/>
  <sheetViews>
    <sheetView zoomScale="85" zoomScaleNormal="85" workbookViewId="0">
      <selection activeCell="E14" sqref="E14"/>
    </sheetView>
  </sheetViews>
  <sheetFormatPr defaultRowHeight="14.5" x14ac:dyDescent="0.35"/>
  <cols>
    <col min="1" max="1" width="13.1796875" bestFit="1" customWidth="1"/>
    <col min="2" max="2" width="11.54296875" bestFit="1" customWidth="1"/>
    <col min="3" max="3" width="12" bestFit="1" customWidth="1"/>
    <col min="4" max="24" width="15.81640625" bestFit="1" customWidth="1"/>
    <col min="25" max="25" width="16.36328125" bestFit="1" customWidth="1"/>
    <col min="26" max="26" width="16.81640625" bestFit="1" customWidth="1"/>
    <col min="27" max="27" width="16.6328125" bestFit="1" customWidth="1"/>
    <col min="28" max="28" width="11.7265625" bestFit="1" customWidth="1"/>
  </cols>
  <sheetData>
    <row r="3" spans="1:28" x14ac:dyDescent="0.35">
      <c r="A3" s="10" t="s">
        <v>681</v>
      </c>
      <c r="B3" t="s">
        <v>695</v>
      </c>
      <c r="AB3" s="12"/>
    </row>
    <row r="4" spans="1:28" x14ac:dyDescent="0.35">
      <c r="A4" s="11" t="s">
        <v>683</v>
      </c>
      <c r="B4" s="13">
        <v>36351.449999999997</v>
      </c>
    </row>
    <row r="5" spans="1:28" x14ac:dyDescent="0.35">
      <c r="A5" s="11" t="s">
        <v>684</v>
      </c>
      <c r="B5" s="13">
        <v>24110.3</v>
      </c>
      <c r="AB5" s="15" t="s">
        <v>696</v>
      </c>
    </row>
    <row r="6" spans="1:28" x14ac:dyDescent="0.35">
      <c r="A6" s="11" t="s">
        <v>685</v>
      </c>
      <c r="B6" s="13">
        <v>36567.100000000006</v>
      </c>
      <c r="AB6" s="16" t="e">
        <f>GETPIVOTDATA("Sum of Profit",$A$3,"Category","Clothing")/GETPIVOTDATA("Sum of Sales",$A$3,"Category","Clothing")</f>
        <v>#REF!</v>
      </c>
    </row>
    <row r="7" spans="1:28" x14ac:dyDescent="0.35">
      <c r="A7" s="11" t="s">
        <v>686</v>
      </c>
      <c r="B7" s="13">
        <v>26129.649999999998</v>
      </c>
      <c r="AB7" s="16" t="e">
        <f>GETPIVOTDATA("Sum of Profit",$A$3,"Category","Electronics")/GETPIVOTDATA("Sum of Sales",$A$3,"Category","Electronics")</f>
        <v>#REF!</v>
      </c>
    </row>
    <row r="8" spans="1:28" x14ac:dyDescent="0.35">
      <c r="A8" s="11" t="s">
        <v>687</v>
      </c>
      <c r="B8" s="13">
        <v>31843.100000000002</v>
      </c>
      <c r="AB8" s="16" t="e">
        <f>GETPIVOTDATA("Sum of Profit",$A$3,"Category","Furniture")/GETPIVOTDATA("Sum of Sales",$A$3,"Category","Furniture")</f>
        <v>#REF!</v>
      </c>
    </row>
    <row r="9" spans="1:28" x14ac:dyDescent="0.35">
      <c r="A9" s="11" t="s">
        <v>688</v>
      </c>
      <c r="B9" s="13">
        <v>44346.950000000004</v>
      </c>
      <c r="AB9" s="16" t="e">
        <f>GETPIVOTDATA("Sum of Profit",$A$3,"Category","Office Supplies")/GETPIVOTDATA("Sum of Sales",$A$3,"Category","Office Supplies")</f>
        <v>#REF!</v>
      </c>
    </row>
    <row r="10" spans="1:28" x14ac:dyDescent="0.35">
      <c r="A10" s="11" t="s">
        <v>689</v>
      </c>
      <c r="B10" s="13">
        <v>22866.799999999999</v>
      </c>
      <c r="AB10" s="17"/>
    </row>
    <row r="11" spans="1:28" x14ac:dyDescent="0.35">
      <c r="A11" s="11" t="s">
        <v>690</v>
      </c>
      <c r="B11" s="13">
        <v>45807.950000000004</v>
      </c>
    </row>
    <row r="12" spans="1:28" x14ac:dyDescent="0.35">
      <c r="A12" s="11" t="s">
        <v>691</v>
      </c>
      <c r="B12" s="13">
        <v>29701.100000000009</v>
      </c>
    </row>
    <row r="13" spans="1:28" x14ac:dyDescent="0.35">
      <c r="A13" s="11" t="s">
        <v>692</v>
      </c>
      <c r="B13" s="13">
        <v>36039.75</v>
      </c>
    </row>
    <row r="14" spans="1:28" x14ac:dyDescent="0.35">
      <c r="A14" s="11" t="s">
        <v>693</v>
      </c>
      <c r="B14" s="13">
        <v>44763.45</v>
      </c>
    </row>
    <row r="15" spans="1:28" x14ac:dyDescent="0.35">
      <c r="A15" s="11" t="s">
        <v>694</v>
      </c>
      <c r="B15" s="13">
        <v>32300.700000000008</v>
      </c>
    </row>
    <row r="16" spans="1:28" x14ac:dyDescent="0.35">
      <c r="A16" s="11" t="s">
        <v>682</v>
      </c>
      <c r="B16" s="13">
        <v>410828.30000000005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E77B-E7FB-4AB4-8281-DBC1CF5BBF74}">
  <dimension ref="A3:B8"/>
  <sheetViews>
    <sheetView workbookViewId="0">
      <selection activeCell="P7" sqref="P7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10" t="s">
        <v>681</v>
      </c>
      <c r="B3" t="s">
        <v>695</v>
      </c>
    </row>
    <row r="4" spans="1:2" x14ac:dyDescent="0.35">
      <c r="A4" s="11" t="s">
        <v>510</v>
      </c>
      <c r="B4">
        <v>104348.90000000001</v>
      </c>
    </row>
    <row r="5" spans="1:2" x14ac:dyDescent="0.35">
      <c r="A5" s="11" t="s">
        <v>512</v>
      </c>
      <c r="B5">
        <v>115429.94999999997</v>
      </c>
    </row>
    <row r="6" spans="1:2" x14ac:dyDescent="0.35">
      <c r="A6" s="11" t="s">
        <v>513</v>
      </c>
      <c r="B6">
        <v>83361.899999999994</v>
      </c>
    </row>
    <row r="7" spans="1:2" x14ac:dyDescent="0.35">
      <c r="A7" s="11" t="s">
        <v>511</v>
      </c>
      <c r="B7">
        <v>107687.54999999999</v>
      </c>
    </row>
    <row r="8" spans="1:2" x14ac:dyDescent="0.35">
      <c r="A8" s="11" t="s">
        <v>682</v>
      </c>
      <c r="B8">
        <v>410828.3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40DC-BFDA-4256-B1FA-F9FBE69B3696}">
  <dimension ref="A2:K51"/>
  <sheetViews>
    <sheetView zoomScale="55" zoomScaleNormal="55" workbookViewId="0">
      <selection activeCell="S47" sqref="S47"/>
    </sheetView>
  </sheetViews>
  <sheetFormatPr defaultRowHeight="14.5" x14ac:dyDescent="0.35"/>
  <cols>
    <col min="1" max="1" width="14" customWidth="1"/>
    <col min="2" max="2" width="12.453125" customWidth="1"/>
    <col min="3" max="3" width="11.26953125" bestFit="1" customWidth="1"/>
    <col min="4" max="4" width="11.90625" bestFit="1" customWidth="1"/>
  </cols>
  <sheetData>
    <row r="2" spans="1:8" ht="26" x14ac:dyDescent="0.6">
      <c r="H2" s="18" t="s">
        <v>697</v>
      </c>
    </row>
    <row r="3" spans="1:8" ht="36" x14ac:dyDescent="0.8">
      <c r="B3" s="25" t="s">
        <v>711</v>
      </c>
    </row>
    <row r="5" spans="1:8" x14ac:dyDescent="0.35">
      <c r="A5" s="15" t="s">
        <v>706</v>
      </c>
      <c r="B5" s="15" t="s">
        <v>707</v>
      </c>
      <c r="C5" s="15" t="s">
        <v>708</v>
      </c>
      <c r="D5" s="15" t="s">
        <v>696</v>
      </c>
    </row>
    <row r="6" spans="1:8" x14ac:dyDescent="0.35">
      <c r="A6" s="21">
        <v>410828.3</v>
      </c>
      <c r="B6" s="22">
        <v>126634.98</v>
      </c>
      <c r="C6" s="2">
        <v>500</v>
      </c>
      <c r="D6" s="23">
        <v>0.308</v>
      </c>
    </row>
    <row r="7" spans="1:8" x14ac:dyDescent="0.35">
      <c r="A7" s="14"/>
    </row>
    <row r="8" spans="1:8" x14ac:dyDescent="0.35">
      <c r="A8" s="14"/>
    </row>
    <row r="9" spans="1:8" x14ac:dyDescent="0.35">
      <c r="A9" s="14"/>
    </row>
    <row r="47" spans="1:11" ht="28.5" x14ac:dyDescent="0.35">
      <c r="A47" s="24" t="s">
        <v>709</v>
      </c>
      <c r="K47" s="24" t="s">
        <v>710</v>
      </c>
    </row>
    <row r="48" spans="1:11" x14ac:dyDescent="0.35">
      <c r="A48" s="20" t="s">
        <v>698</v>
      </c>
      <c r="K48" s="19" t="s">
        <v>702</v>
      </c>
    </row>
    <row r="49" spans="1:11" x14ac:dyDescent="0.35">
      <c r="A49" s="20" t="s">
        <v>699</v>
      </c>
      <c r="K49" s="19" t="s">
        <v>703</v>
      </c>
    </row>
    <row r="50" spans="1:11" x14ac:dyDescent="0.35">
      <c r="A50" s="20" t="s">
        <v>700</v>
      </c>
      <c r="K50" s="19" t="s">
        <v>704</v>
      </c>
    </row>
    <row r="51" spans="1:11" x14ac:dyDescent="0.35">
      <c r="A51" s="20" t="s">
        <v>701</v>
      </c>
      <c r="K51" s="19" t="s">
        <v>705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A7F2B-3B7A-4921-A7FB-983788361272}">
  <dimension ref="A3:B7"/>
  <sheetViews>
    <sheetView workbookViewId="0">
      <selection activeCell="O13" sqref="O13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10" t="s">
        <v>681</v>
      </c>
      <c r="B3" t="s">
        <v>695</v>
      </c>
    </row>
    <row r="4" spans="1:2" x14ac:dyDescent="0.35">
      <c r="A4" s="11" t="s">
        <v>523</v>
      </c>
      <c r="B4">
        <v>62162.15</v>
      </c>
    </row>
    <row r="5" spans="1:2" x14ac:dyDescent="0.35">
      <c r="A5" s="11" t="s">
        <v>521</v>
      </c>
      <c r="B5">
        <v>49876.800000000003</v>
      </c>
    </row>
    <row r="6" spans="1:2" x14ac:dyDescent="0.35">
      <c r="A6" s="11" t="s">
        <v>525</v>
      </c>
      <c r="B6">
        <v>52038</v>
      </c>
    </row>
    <row r="7" spans="1:2" x14ac:dyDescent="0.35">
      <c r="A7" s="11" t="s">
        <v>682</v>
      </c>
      <c r="B7">
        <v>164076.95000000001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B876-18F4-4105-8FF7-0F7BB0F915F6}">
  <dimension ref="A3:B8"/>
  <sheetViews>
    <sheetView workbookViewId="0">
      <selection activeCell="A3" sqref="A3"/>
    </sheetView>
  </sheetViews>
  <sheetFormatPr defaultRowHeight="14.5" x14ac:dyDescent="0.35"/>
  <cols>
    <col min="1" max="1" width="13.1796875" bestFit="1" customWidth="1"/>
    <col min="2" max="2" width="11.26953125" bestFit="1" customWidth="1"/>
  </cols>
  <sheetData>
    <row r="3" spans="1:2" x14ac:dyDescent="0.35">
      <c r="A3" s="10" t="s">
        <v>681</v>
      </c>
      <c r="B3" t="s">
        <v>695</v>
      </c>
    </row>
    <row r="4" spans="1:2" x14ac:dyDescent="0.35">
      <c r="A4" s="11" t="s">
        <v>515</v>
      </c>
      <c r="B4">
        <v>37185.950000000004</v>
      </c>
    </row>
    <row r="5" spans="1:2" x14ac:dyDescent="0.35">
      <c r="A5" s="11" t="s">
        <v>516</v>
      </c>
      <c r="B5">
        <v>215403.6</v>
      </c>
    </row>
    <row r="6" spans="1:2" x14ac:dyDescent="0.35">
      <c r="A6" s="11" t="s">
        <v>517</v>
      </c>
      <c r="B6">
        <v>131332.25</v>
      </c>
    </row>
    <row r="7" spans="1:2" x14ac:dyDescent="0.35">
      <c r="A7" s="11" t="s">
        <v>518</v>
      </c>
      <c r="B7">
        <v>26906.499999999993</v>
      </c>
    </row>
    <row r="8" spans="1:2" x14ac:dyDescent="0.35">
      <c r="A8" s="11" t="s">
        <v>682</v>
      </c>
      <c r="B8">
        <v>410828.30000000005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3"/>
  <sheetViews>
    <sheetView tabSelected="1" topLeftCell="A491" zoomScale="137" workbookViewId="0">
      <selection activeCell="A2" sqref="A2:A501"/>
    </sheetView>
  </sheetViews>
  <sheetFormatPr defaultRowHeight="14.5" x14ac:dyDescent="0.35"/>
  <cols>
    <col min="2" max="2" width="10.08984375" bestFit="1" customWidth="1"/>
    <col min="4" max="4" width="13.1796875" bestFit="1" customWidth="1"/>
    <col min="5" max="5" width="11.7265625" bestFit="1" customWidth="1"/>
    <col min="6" max="6" width="9" bestFit="1" customWidth="1"/>
    <col min="8" max="8" width="8.26953125" customWidth="1"/>
    <col min="10" max="10" width="8.7265625" style="8"/>
    <col min="13" max="13" width="9.3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6" t="s">
        <v>9</v>
      </c>
    </row>
    <row r="2" spans="1:13" x14ac:dyDescent="0.35">
      <c r="A2" s="2" t="s">
        <v>10</v>
      </c>
      <c r="B2" s="3">
        <v>45872</v>
      </c>
      <c r="C2" s="2" t="s">
        <v>510</v>
      </c>
      <c r="D2" s="2" t="s">
        <v>515</v>
      </c>
      <c r="E2" s="2" t="s">
        <v>520</v>
      </c>
      <c r="F2" s="2" t="s">
        <v>536</v>
      </c>
      <c r="G2" s="2">
        <v>344</v>
      </c>
      <c r="H2" s="2">
        <v>5</v>
      </c>
      <c r="I2" s="5">
        <v>140.31</v>
      </c>
      <c r="J2" s="7">
        <v>0.2</v>
      </c>
    </row>
    <row r="3" spans="1:13" x14ac:dyDescent="0.35">
      <c r="A3" s="2" t="s">
        <v>11</v>
      </c>
      <c r="B3" s="3">
        <v>45849</v>
      </c>
      <c r="C3" s="2" t="s">
        <v>511</v>
      </c>
      <c r="D3" s="2" t="s">
        <v>516</v>
      </c>
      <c r="E3" s="2" t="s">
        <v>521</v>
      </c>
      <c r="F3" s="2" t="s">
        <v>537</v>
      </c>
      <c r="G3" s="2">
        <v>1889.55</v>
      </c>
      <c r="H3" s="2">
        <v>3</v>
      </c>
      <c r="I3" s="5">
        <v>371.47</v>
      </c>
      <c r="J3" s="7">
        <v>0.15</v>
      </c>
      <c r="L3">
        <f>SUM(G2:G501)</f>
        <v>410828.30000000005</v>
      </c>
      <c r="M3" s="9">
        <f>SUM(I2:I501)</f>
        <v>126634.98000000001</v>
      </c>
    </row>
    <row r="4" spans="1:13" x14ac:dyDescent="0.35">
      <c r="A4" s="2" t="s">
        <v>12</v>
      </c>
      <c r="B4" s="3">
        <v>45827</v>
      </c>
      <c r="C4" s="2" t="s">
        <v>511</v>
      </c>
      <c r="D4" s="2" t="s">
        <v>516</v>
      </c>
      <c r="E4" s="2" t="s">
        <v>521</v>
      </c>
      <c r="F4" s="2" t="s">
        <v>538</v>
      </c>
      <c r="G4" s="2">
        <v>181.8</v>
      </c>
      <c r="H4" s="2">
        <v>2</v>
      </c>
      <c r="I4" s="5">
        <v>51.78</v>
      </c>
      <c r="J4" s="7">
        <v>0.1</v>
      </c>
    </row>
    <row r="5" spans="1:13" x14ac:dyDescent="0.35">
      <c r="A5" s="2" t="s">
        <v>13</v>
      </c>
      <c r="B5" s="3">
        <v>45964</v>
      </c>
      <c r="C5" s="2" t="s">
        <v>510</v>
      </c>
      <c r="D5" s="2" t="s">
        <v>517</v>
      </c>
      <c r="E5" s="2" t="s">
        <v>522</v>
      </c>
      <c r="F5" s="2" t="s">
        <v>537</v>
      </c>
      <c r="G5" s="2">
        <v>2821</v>
      </c>
      <c r="H5" s="2">
        <v>7</v>
      </c>
      <c r="I5" s="5">
        <v>1234.07</v>
      </c>
      <c r="J5" s="7">
        <v>0</v>
      </c>
    </row>
    <row r="6" spans="1:13" x14ac:dyDescent="0.35">
      <c r="A6" s="2" t="s">
        <v>14</v>
      </c>
      <c r="B6" s="3">
        <v>46003</v>
      </c>
      <c r="C6" s="2" t="s">
        <v>512</v>
      </c>
      <c r="D6" s="2" t="s">
        <v>516</v>
      </c>
      <c r="E6" s="2" t="s">
        <v>523</v>
      </c>
      <c r="F6" s="2" t="s">
        <v>539</v>
      </c>
      <c r="G6" s="2">
        <v>887.3</v>
      </c>
      <c r="H6" s="2">
        <v>2</v>
      </c>
      <c r="I6" s="5">
        <v>306.95</v>
      </c>
      <c r="J6" s="7">
        <v>0.05</v>
      </c>
    </row>
    <row r="7" spans="1:13" x14ac:dyDescent="0.35">
      <c r="A7" s="2" t="s">
        <v>15</v>
      </c>
      <c r="B7" s="3">
        <v>45707</v>
      </c>
      <c r="C7" s="2" t="s">
        <v>511</v>
      </c>
      <c r="D7" s="2" t="s">
        <v>518</v>
      </c>
      <c r="E7" s="2" t="s">
        <v>524</v>
      </c>
      <c r="F7" s="2" t="s">
        <v>540</v>
      </c>
      <c r="G7" s="2">
        <v>321.3</v>
      </c>
      <c r="H7" s="2">
        <v>7</v>
      </c>
      <c r="I7" s="5">
        <v>65.7</v>
      </c>
      <c r="J7" s="7">
        <v>0.1</v>
      </c>
    </row>
    <row r="8" spans="1:13" x14ac:dyDescent="0.35">
      <c r="A8" s="2" t="s">
        <v>16</v>
      </c>
      <c r="B8" s="3">
        <v>45875</v>
      </c>
      <c r="C8" s="2" t="s">
        <v>511</v>
      </c>
      <c r="D8" s="2" t="s">
        <v>517</v>
      </c>
      <c r="E8" s="2" t="s">
        <v>522</v>
      </c>
      <c r="F8" s="2" t="s">
        <v>541</v>
      </c>
      <c r="G8" s="2">
        <v>696</v>
      </c>
      <c r="H8" s="2">
        <v>6</v>
      </c>
      <c r="I8" s="5">
        <v>131</v>
      </c>
      <c r="J8" s="7">
        <v>0.2</v>
      </c>
    </row>
    <row r="9" spans="1:13" x14ac:dyDescent="0.35">
      <c r="A9" s="2" t="s">
        <v>17</v>
      </c>
      <c r="B9" s="3">
        <v>45710</v>
      </c>
      <c r="C9" s="2" t="s">
        <v>511</v>
      </c>
      <c r="D9" s="2" t="s">
        <v>515</v>
      </c>
      <c r="E9" s="2" t="s">
        <v>520</v>
      </c>
      <c r="F9" s="2" t="s">
        <v>542</v>
      </c>
      <c r="G9" s="2">
        <v>302.39999999999998</v>
      </c>
      <c r="H9" s="2">
        <v>7</v>
      </c>
      <c r="I9" s="5">
        <v>113.92</v>
      </c>
      <c r="J9" s="7">
        <v>0.2</v>
      </c>
    </row>
    <row r="10" spans="1:13" x14ac:dyDescent="0.35">
      <c r="A10" s="2" t="s">
        <v>18</v>
      </c>
      <c r="B10" s="3">
        <v>45793</v>
      </c>
      <c r="C10" s="2" t="s">
        <v>511</v>
      </c>
      <c r="D10" s="2" t="s">
        <v>516</v>
      </c>
      <c r="E10" s="2" t="s">
        <v>525</v>
      </c>
      <c r="F10" s="2" t="s">
        <v>543</v>
      </c>
      <c r="G10" s="2">
        <v>470</v>
      </c>
      <c r="H10" s="2">
        <v>5</v>
      </c>
      <c r="I10" s="5">
        <v>113.5</v>
      </c>
      <c r="J10" s="7">
        <v>0</v>
      </c>
    </row>
    <row r="11" spans="1:13" x14ac:dyDescent="0.35">
      <c r="A11" s="2" t="s">
        <v>19</v>
      </c>
      <c r="B11" s="3">
        <v>45888</v>
      </c>
      <c r="C11" s="2" t="s">
        <v>513</v>
      </c>
      <c r="D11" s="2" t="s">
        <v>515</v>
      </c>
      <c r="E11" s="2" t="s">
        <v>526</v>
      </c>
      <c r="F11" s="2" t="s">
        <v>544</v>
      </c>
      <c r="G11" s="2">
        <v>159.30000000000001</v>
      </c>
      <c r="H11" s="2">
        <v>1</v>
      </c>
      <c r="I11" s="5">
        <v>68.5</v>
      </c>
      <c r="J11" s="7">
        <v>0.1</v>
      </c>
    </row>
    <row r="12" spans="1:13" x14ac:dyDescent="0.35">
      <c r="A12" s="2" t="s">
        <v>20</v>
      </c>
      <c r="B12" s="3">
        <v>46017</v>
      </c>
      <c r="C12" s="2" t="s">
        <v>513</v>
      </c>
      <c r="D12" s="2" t="s">
        <v>518</v>
      </c>
      <c r="E12" s="2" t="s">
        <v>527</v>
      </c>
      <c r="F12" s="2" t="s">
        <v>545</v>
      </c>
      <c r="G12" s="2">
        <v>41.6</v>
      </c>
      <c r="H12" s="2">
        <v>1</v>
      </c>
      <c r="I12" s="5">
        <v>10.53</v>
      </c>
      <c r="J12" s="7">
        <v>0.2</v>
      </c>
    </row>
    <row r="13" spans="1:13" x14ac:dyDescent="0.35">
      <c r="A13" s="2" t="s">
        <v>21</v>
      </c>
      <c r="B13" s="3">
        <v>46016</v>
      </c>
      <c r="C13" s="2" t="s">
        <v>510</v>
      </c>
      <c r="D13" s="2" t="s">
        <v>516</v>
      </c>
      <c r="E13" s="2" t="s">
        <v>523</v>
      </c>
      <c r="F13" s="2" t="s">
        <v>546</v>
      </c>
      <c r="G13" s="2">
        <v>2569.75</v>
      </c>
      <c r="H13" s="2">
        <v>5</v>
      </c>
      <c r="I13" s="5">
        <v>992.65</v>
      </c>
      <c r="J13" s="7">
        <v>0.05</v>
      </c>
    </row>
    <row r="14" spans="1:13" x14ac:dyDescent="0.35">
      <c r="A14" s="2" t="s">
        <v>22</v>
      </c>
      <c r="B14" s="3">
        <v>45879</v>
      </c>
      <c r="C14" s="2" t="s">
        <v>512</v>
      </c>
      <c r="D14" s="2" t="s">
        <v>515</v>
      </c>
      <c r="E14" s="2" t="s">
        <v>526</v>
      </c>
      <c r="F14" s="2" t="s">
        <v>547</v>
      </c>
      <c r="G14" s="2">
        <v>123.2</v>
      </c>
      <c r="H14" s="2">
        <v>2</v>
      </c>
      <c r="I14" s="5">
        <v>38.520000000000003</v>
      </c>
      <c r="J14" s="7">
        <v>0.2</v>
      </c>
    </row>
    <row r="15" spans="1:13" x14ac:dyDescent="0.35">
      <c r="A15" s="2" t="s">
        <v>23</v>
      </c>
      <c r="B15" s="3">
        <v>45723</v>
      </c>
      <c r="C15" s="2" t="s">
        <v>513</v>
      </c>
      <c r="D15" s="2" t="s">
        <v>515</v>
      </c>
      <c r="E15" s="2" t="s">
        <v>528</v>
      </c>
      <c r="F15" s="2" t="s">
        <v>548</v>
      </c>
      <c r="G15" s="2">
        <v>306</v>
      </c>
      <c r="H15" s="2">
        <v>4</v>
      </c>
      <c r="I15" s="5">
        <v>124.38</v>
      </c>
      <c r="J15" s="7">
        <v>0.1</v>
      </c>
    </row>
    <row r="16" spans="1:13" x14ac:dyDescent="0.35">
      <c r="A16" s="2" t="s">
        <v>24</v>
      </c>
      <c r="B16" s="3">
        <v>45988</v>
      </c>
      <c r="C16" s="2" t="s">
        <v>511</v>
      </c>
      <c r="D16" s="2" t="s">
        <v>517</v>
      </c>
      <c r="E16" s="2" t="s">
        <v>529</v>
      </c>
      <c r="F16" s="2" t="s">
        <v>549</v>
      </c>
      <c r="G16" s="2">
        <v>1372.75</v>
      </c>
      <c r="H16" s="2">
        <v>5</v>
      </c>
      <c r="I16" s="5">
        <v>286.92</v>
      </c>
      <c r="J16" s="7">
        <v>0.15</v>
      </c>
    </row>
    <row r="17" spans="1:10" x14ac:dyDescent="0.35">
      <c r="A17" s="2" t="s">
        <v>25</v>
      </c>
      <c r="B17" s="3">
        <v>45890</v>
      </c>
      <c r="C17" s="2" t="s">
        <v>510</v>
      </c>
      <c r="D17" s="2" t="s">
        <v>516</v>
      </c>
      <c r="E17" s="2" t="s">
        <v>523</v>
      </c>
      <c r="F17" s="2" t="s">
        <v>550</v>
      </c>
      <c r="G17" s="2">
        <v>1824</v>
      </c>
      <c r="H17" s="2">
        <v>6</v>
      </c>
      <c r="I17" s="5">
        <v>417.94</v>
      </c>
      <c r="J17" s="7">
        <v>0</v>
      </c>
    </row>
    <row r="18" spans="1:10" x14ac:dyDescent="0.35">
      <c r="A18" s="2" t="s">
        <v>26</v>
      </c>
      <c r="B18" s="3">
        <v>45972</v>
      </c>
      <c r="C18" s="2" t="s">
        <v>513</v>
      </c>
      <c r="D18" s="2" t="s">
        <v>517</v>
      </c>
      <c r="E18" s="2" t="s">
        <v>530</v>
      </c>
      <c r="F18" s="2" t="s">
        <v>551</v>
      </c>
      <c r="G18" s="2">
        <v>1017.45</v>
      </c>
      <c r="H18" s="2">
        <v>3</v>
      </c>
      <c r="I18" s="5">
        <v>365.11</v>
      </c>
      <c r="J18" s="7">
        <v>0.05</v>
      </c>
    </row>
    <row r="19" spans="1:10" x14ac:dyDescent="0.35">
      <c r="A19" s="2" t="s">
        <v>27</v>
      </c>
      <c r="B19" s="3">
        <v>45758</v>
      </c>
      <c r="C19" s="2" t="s">
        <v>514</v>
      </c>
      <c r="D19" s="2" t="s">
        <v>518</v>
      </c>
      <c r="E19" s="2" t="s">
        <v>531</v>
      </c>
      <c r="F19" s="2" t="s">
        <v>552</v>
      </c>
      <c r="G19" s="2">
        <v>60.8</v>
      </c>
      <c r="H19" s="2">
        <v>4</v>
      </c>
      <c r="I19" s="5">
        <v>15.67</v>
      </c>
      <c r="J19" s="7">
        <v>0.05</v>
      </c>
    </row>
    <row r="20" spans="1:10" x14ac:dyDescent="0.35">
      <c r="A20" s="2" t="s">
        <v>28</v>
      </c>
      <c r="B20" s="3">
        <v>45783</v>
      </c>
      <c r="C20" s="2" t="s">
        <v>513</v>
      </c>
      <c r="D20" s="2" t="s">
        <v>515</v>
      </c>
      <c r="E20" s="2" t="s">
        <v>528</v>
      </c>
      <c r="F20" s="2" t="s">
        <v>553</v>
      </c>
      <c r="G20" s="2">
        <v>108.8</v>
      </c>
      <c r="H20" s="2">
        <v>2</v>
      </c>
      <c r="I20" s="5">
        <v>38.82</v>
      </c>
      <c r="J20" s="7">
        <v>0.2</v>
      </c>
    </row>
    <row r="21" spans="1:10" x14ac:dyDescent="0.35">
      <c r="A21" s="2" t="s">
        <v>29</v>
      </c>
      <c r="B21" s="3">
        <v>45912</v>
      </c>
      <c r="C21" s="2" t="s">
        <v>513</v>
      </c>
      <c r="D21" s="2" t="s">
        <v>518</v>
      </c>
      <c r="E21" s="2" t="s">
        <v>532</v>
      </c>
      <c r="F21" s="2" t="s">
        <v>554</v>
      </c>
      <c r="G21" s="2">
        <v>318.60000000000002</v>
      </c>
      <c r="H21" s="2">
        <v>6</v>
      </c>
      <c r="I21" s="5">
        <v>111.57</v>
      </c>
      <c r="J21" s="7">
        <v>0.1</v>
      </c>
    </row>
    <row r="22" spans="1:10" x14ac:dyDescent="0.35">
      <c r="A22" s="2" t="s">
        <v>30</v>
      </c>
      <c r="B22" s="3">
        <v>46006</v>
      </c>
      <c r="C22" s="2" t="s">
        <v>510</v>
      </c>
      <c r="D22" s="2" t="s">
        <v>516</v>
      </c>
      <c r="E22" s="2" t="s">
        <v>521</v>
      </c>
      <c r="F22" s="2" t="s">
        <v>555</v>
      </c>
      <c r="G22" s="2">
        <v>470.9</v>
      </c>
      <c r="H22" s="2">
        <v>2</v>
      </c>
      <c r="I22" s="5">
        <v>147.29</v>
      </c>
      <c r="J22" s="7">
        <v>0.15</v>
      </c>
    </row>
    <row r="23" spans="1:10" x14ac:dyDescent="0.35">
      <c r="A23" s="2" t="s">
        <v>31</v>
      </c>
      <c r="B23" s="3">
        <v>45785</v>
      </c>
      <c r="C23" s="2" t="s">
        <v>510</v>
      </c>
      <c r="D23" s="2" t="s">
        <v>518</v>
      </c>
      <c r="E23" s="2" t="s">
        <v>527</v>
      </c>
      <c r="F23" s="2" t="s">
        <v>556</v>
      </c>
      <c r="G23" s="2">
        <v>81.599999999999994</v>
      </c>
      <c r="H23" s="2">
        <v>4</v>
      </c>
      <c r="I23" s="5">
        <v>16</v>
      </c>
      <c r="J23" s="7">
        <v>0.15</v>
      </c>
    </row>
    <row r="24" spans="1:10" x14ac:dyDescent="0.35">
      <c r="A24" s="2" t="s">
        <v>32</v>
      </c>
      <c r="B24" s="3">
        <v>45909</v>
      </c>
      <c r="C24" s="2" t="s">
        <v>511</v>
      </c>
      <c r="D24" s="2" t="s">
        <v>518</v>
      </c>
      <c r="E24" s="2" t="s">
        <v>531</v>
      </c>
      <c r="F24" s="2" t="s">
        <v>557</v>
      </c>
      <c r="G24" s="2">
        <v>99.75</v>
      </c>
      <c r="H24" s="2">
        <v>3</v>
      </c>
      <c r="I24" s="5">
        <v>37.94</v>
      </c>
      <c r="J24" s="7">
        <v>0.05</v>
      </c>
    </row>
    <row r="25" spans="1:10" x14ac:dyDescent="0.35">
      <c r="A25" s="2" t="s">
        <v>33</v>
      </c>
      <c r="B25" s="3">
        <v>45817</v>
      </c>
      <c r="C25" s="2" t="s">
        <v>510</v>
      </c>
      <c r="D25" s="2" t="s">
        <v>518</v>
      </c>
      <c r="E25" s="2" t="s">
        <v>531</v>
      </c>
      <c r="F25" s="2" t="s">
        <v>558</v>
      </c>
      <c r="G25" s="2">
        <v>17</v>
      </c>
      <c r="H25" s="2">
        <v>4</v>
      </c>
      <c r="I25" s="5">
        <v>5.09</v>
      </c>
      <c r="J25" s="7">
        <v>0.15</v>
      </c>
    </row>
    <row r="26" spans="1:10" x14ac:dyDescent="0.35">
      <c r="A26" s="2" t="s">
        <v>34</v>
      </c>
      <c r="B26" s="3">
        <v>45732</v>
      </c>
      <c r="C26" s="2" t="s">
        <v>512</v>
      </c>
      <c r="D26" s="2" t="s">
        <v>516</v>
      </c>
      <c r="E26" s="2" t="s">
        <v>523</v>
      </c>
      <c r="F26" s="2" t="s">
        <v>559</v>
      </c>
      <c r="G26" s="2">
        <v>2685</v>
      </c>
      <c r="H26" s="2">
        <v>3</v>
      </c>
      <c r="I26" s="5">
        <v>742.81</v>
      </c>
      <c r="J26" s="7">
        <v>0</v>
      </c>
    </row>
    <row r="27" spans="1:10" x14ac:dyDescent="0.35">
      <c r="A27" s="2" t="s">
        <v>35</v>
      </c>
      <c r="B27" s="3">
        <v>45995</v>
      </c>
      <c r="C27" s="2" t="s">
        <v>513</v>
      </c>
      <c r="D27" s="2" t="s">
        <v>518</v>
      </c>
      <c r="E27" s="2" t="s">
        <v>532</v>
      </c>
      <c r="F27" s="2" t="s">
        <v>560</v>
      </c>
      <c r="G27" s="2">
        <v>276.45</v>
      </c>
      <c r="H27" s="2">
        <v>3</v>
      </c>
      <c r="I27" s="5">
        <v>112.4</v>
      </c>
      <c r="J27" s="7">
        <v>0.05</v>
      </c>
    </row>
    <row r="28" spans="1:10" x14ac:dyDescent="0.35">
      <c r="A28" s="2" t="s">
        <v>36</v>
      </c>
      <c r="B28" s="3">
        <v>45792</v>
      </c>
      <c r="C28" s="2" t="s">
        <v>510</v>
      </c>
      <c r="D28" s="2" t="s">
        <v>515</v>
      </c>
      <c r="E28" s="2" t="s">
        <v>520</v>
      </c>
      <c r="F28" s="2" t="s">
        <v>561</v>
      </c>
      <c r="G28" s="2">
        <v>328</v>
      </c>
      <c r="H28" s="2">
        <v>5</v>
      </c>
      <c r="I28" s="5">
        <v>131.76</v>
      </c>
      <c r="J28" s="7">
        <v>0.2</v>
      </c>
    </row>
    <row r="29" spans="1:10" x14ac:dyDescent="0.35">
      <c r="A29" s="2" t="s">
        <v>37</v>
      </c>
      <c r="B29" s="3">
        <v>45921</v>
      </c>
      <c r="C29" s="2" t="s">
        <v>510</v>
      </c>
      <c r="D29" s="2" t="s">
        <v>518</v>
      </c>
      <c r="E29" s="2" t="s">
        <v>531</v>
      </c>
      <c r="F29" s="2" t="s">
        <v>562</v>
      </c>
      <c r="G29" s="2">
        <v>108.8</v>
      </c>
      <c r="H29" s="2">
        <v>4</v>
      </c>
      <c r="I29" s="5">
        <v>34.659999999999997</v>
      </c>
      <c r="J29" s="7">
        <v>0.2</v>
      </c>
    </row>
    <row r="30" spans="1:10" x14ac:dyDescent="0.35">
      <c r="A30" s="2" t="s">
        <v>38</v>
      </c>
      <c r="B30" s="3">
        <v>45974</v>
      </c>
      <c r="C30" s="2" t="s">
        <v>511</v>
      </c>
      <c r="D30" s="2" t="s">
        <v>517</v>
      </c>
      <c r="E30" s="2" t="s">
        <v>529</v>
      </c>
      <c r="F30" s="2" t="s">
        <v>563</v>
      </c>
      <c r="G30" s="2">
        <v>1938</v>
      </c>
      <c r="H30" s="2">
        <v>6</v>
      </c>
      <c r="I30" s="5">
        <v>769.94</v>
      </c>
      <c r="J30" s="7">
        <v>0</v>
      </c>
    </row>
    <row r="31" spans="1:10" x14ac:dyDescent="0.35">
      <c r="A31" s="2" t="s">
        <v>39</v>
      </c>
      <c r="B31" s="3">
        <v>45890</v>
      </c>
      <c r="C31" s="2" t="s">
        <v>512</v>
      </c>
      <c r="D31" s="2" t="s">
        <v>518</v>
      </c>
      <c r="E31" s="2" t="s">
        <v>527</v>
      </c>
      <c r="F31" s="2" t="s">
        <v>554</v>
      </c>
      <c r="G31" s="2">
        <v>77.599999999999994</v>
      </c>
      <c r="H31" s="2">
        <v>1</v>
      </c>
      <c r="I31" s="5">
        <v>16.41</v>
      </c>
      <c r="J31" s="7">
        <v>0.2</v>
      </c>
    </row>
    <row r="32" spans="1:10" x14ac:dyDescent="0.35">
      <c r="A32" s="2" t="s">
        <v>40</v>
      </c>
      <c r="B32" s="3">
        <v>45910</v>
      </c>
      <c r="C32" s="2" t="s">
        <v>512</v>
      </c>
      <c r="D32" s="2" t="s">
        <v>516</v>
      </c>
      <c r="E32" s="2" t="s">
        <v>525</v>
      </c>
      <c r="F32" s="2" t="s">
        <v>564</v>
      </c>
      <c r="G32" s="2">
        <v>1560</v>
      </c>
      <c r="H32" s="2">
        <v>6</v>
      </c>
      <c r="I32" s="5">
        <v>670.26</v>
      </c>
      <c r="J32" s="7">
        <v>0</v>
      </c>
    </row>
    <row r="33" spans="1:10" x14ac:dyDescent="0.35">
      <c r="A33" s="2" t="s">
        <v>41</v>
      </c>
      <c r="B33" s="3">
        <v>45999</v>
      </c>
      <c r="C33" s="2" t="s">
        <v>510</v>
      </c>
      <c r="D33" s="2" t="s">
        <v>518</v>
      </c>
      <c r="E33" s="2" t="s">
        <v>532</v>
      </c>
      <c r="F33" s="2" t="s">
        <v>565</v>
      </c>
      <c r="G33" s="2">
        <v>67.45</v>
      </c>
      <c r="H33" s="2">
        <v>1</v>
      </c>
      <c r="I33" s="5">
        <v>19.149999999999999</v>
      </c>
      <c r="J33" s="7">
        <v>0.05</v>
      </c>
    </row>
    <row r="34" spans="1:10" x14ac:dyDescent="0.35">
      <c r="A34" s="2" t="s">
        <v>42</v>
      </c>
      <c r="B34" s="3">
        <v>45696</v>
      </c>
      <c r="C34" s="2" t="s">
        <v>512</v>
      </c>
      <c r="D34" s="2" t="s">
        <v>515</v>
      </c>
      <c r="E34" s="2" t="s">
        <v>533</v>
      </c>
      <c r="F34" s="2" t="s">
        <v>566</v>
      </c>
      <c r="G34" s="2">
        <v>315</v>
      </c>
      <c r="H34" s="2">
        <v>2</v>
      </c>
      <c r="I34" s="5">
        <v>81.459999999999994</v>
      </c>
      <c r="J34" s="7">
        <v>0.1</v>
      </c>
    </row>
    <row r="35" spans="1:10" x14ac:dyDescent="0.35">
      <c r="A35" s="2" t="s">
        <v>43</v>
      </c>
      <c r="B35" s="3">
        <v>45677</v>
      </c>
      <c r="C35" s="2" t="s">
        <v>512</v>
      </c>
      <c r="D35" s="2" t="s">
        <v>515</v>
      </c>
      <c r="E35" s="2" t="s">
        <v>533</v>
      </c>
      <c r="F35" s="2" t="s">
        <v>567</v>
      </c>
      <c r="G35" s="2">
        <v>74</v>
      </c>
      <c r="H35" s="2">
        <v>1</v>
      </c>
      <c r="I35" s="5">
        <v>20.75</v>
      </c>
      <c r="J35" s="7">
        <v>0</v>
      </c>
    </row>
    <row r="36" spans="1:10" x14ac:dyDescent="0.35">
      <c r="A36" s="2" t="s">
        <v>44</v>
      </c>
      <c r="B36" s="3">
        <v>45720</v>
      </c>
      <c r="C36" s="2" t="s">
        <v>513</v>
      </c>
      <c r="D36" s="2" t="s">
        <v>518</v>
      </c>
      <c r="E36" s="2" t="s">
        <v>532</v>
      </c>
      <c r="F36" s="2" t="s">
        <v>568</v>
      </c>
      <c r="G36" s="2">
        <v>378</v>
      </c>
      <c r="H36" s="2">
        <v>6</v>
      </c>
      <c r="I36" s="5">
        <v>122.58</v>
      </c>
      <c r="J36" s="7">
        <v>0.1</v>
      </c>
    </row>
    <row r="37" spans="1:10" x14ac:dyDescent="0.35">
      <c r="A37" s="2" t="s">
        <v>45</v>
      </c>
      <c r="B37" s="3">
        <v>45921</v>
      </c>
      <c r="C37" s="2" t="s">
        <v>512</v>
      </c>
      <c r="D37" s="2" t="s">
        <v>517</v>
      </c>
      <c r="E37" s="2" t="s">
        <v>522</v>
      </c>
      <c r="F37" s="2" t="s">
        <v>569</v>
      </c>
      <c r="G37" s="2">
        <v>619.20000000000005</v>
      </c>
      <c r="H37" s="2">
        <v>2</v>
      </c>
      <c r="I37" s="5">
        <v>257.39999999999998</v>
      </c>
      <c r="J37" s="7">
        <v>0.1</v>
      </c>
    </row>
    <row r="38" spans="1:10" x14ac:dyDescent="0.35">
      <c r="A38" s="2" t="s">
        <v>46</v>
      </c>
      <c r="B38" s="3">
        <v>45965</v>
      </c>
      <c r="C38" s="2" t="s">
        <v>511</v>
      </c>
      <c r="D38" s="2" t="s">
        <v>518</v>
      </c>
      <c r="E38" s="2" t="s">
        <v>524</v>
      </c>
      <c r="F38" s="2" t="s">
        <v>570</v>
      </c>
      <c r="G38" s="2">
        <v>441</v>
      </c>
      <c r="H38" s="2">
        <v>5</v>
      </c>
      <c r="I38" s="5">
        <v>122.55</v>
      </c>
      <c r="J38" s="7">
        <v>0.1</v>
      </c>
    </row>
    <row r="39" spans="1:10" x14ac:dyDescent="0.35">
      <c r="A39" s="2" t="s">
        <v>47</v>
      </c>
      <c r="B39" s="3">
        <v>46003</v>
      </c>
      <c r="C39" s="2" t="s">
        <v>512</v>
      </c>
      <c r="D39" s="2" t="s">
        <v>517</v>
      </c>
      <c r="E39" s="2" t="s">
        <v>530</v>
      </c>
      <c r="F39" s="2" t="s">
        <v>571</v>
      </c>
      <c r="G39" s="2">
        <v>334.8</v>
      </c>
      <c r="H39" s="2">
        <v>2</v>
      </c>
      <c r="I39" s="5">
        <v>110.98</v>
      </c>
      <c r="J39" s="7">
        <v>0.1</v>
      </c>
    </row>
    <row r="40" spans="1:10" x14ac:dyDescent="0.35">
      <c r="A40" s="2" t="s">
        <v>48</v>
      </c>
      <c r="B40" s="3">
        <v>45947</v>
      </c>
      <c r="C40" s="2" t="s">
        <v>511</v>
      </c>
      <c r="D40" s="2" t="s">
        <v>517</v>
      </c>
      <c r="E40" s="2" t="s">
        <v>534</v>
      </c>
      <c r="F40" s="2" t="s">
        <v>572</v>
      </c>
      <c r="G40" s="2">
        <v>2892.75</v>
      </c>
      <c r="H40" s="2">
        <v>7</v>
      </c>
      <c r="I40" s="5">
        <v>1179.55</v>
      </c>
      <c r="J40" s="7">
        <v>0.05</v>
      </c>
    </row>
    <row r="41" spans="1:10" x14ac:dyDescent="0.35">
      <c r="A41" s="2" t="s">
        <v>49</v>
      </c>
      <c r="B41" s="3">
        <v>45726</v>
      </c>
      <c r="C41" s="2" t="s">
        <v>513</v>
      </c>
      <c r="D41" s="2" t="s">
        <v>517</v>
      </c>
      <c r="E41" s="2" t="s">
        <v>530</v>
      </c>
      <c r="F41" s="2" t="s">
        <v>573</v>
      </c>
      <c r="G41" s="2">
        <v>220.8</v>
      </c>
      <c r="H41" s="2">
        <v>1</v>
      </c>
      <c r="I41" s="5">
        <v>55.37</v>
      </c>
      <c r="J41" s="7">
        <v>0.2</v>
      </c>
    </row>
    <row r="42" spans="1:10" x14ac:dyDescent="0.35">
      <c r="A42" s="2" t="s">
        <v>50</v>
      </c>
      <c r="B42" s="3">
        <v>45726</v>
      </c>
      <c r="C42" s="2" t="s">
        <v>510</v>
      </c>
      <c r="D42" s="2" t="s">
        <v>515</v>
      </c>
      <c r="E42" s="2" t="s">
        <v>526</v>
      </c>
      <c r="F42" s="2" t="s">
        <v>574</v>
      </c>
      <c r="G42" s="2">
        <v>320</v>
      </c>
      <c r="H42" s="2">
        <v>4</v>
      </c>
      <c r="I42" s="5">
        <v>133.97</v>
      </c>
      <c r="J42" s="7">
        <v>0.2</v>
      </c>
    </row>
    <row r="43" spans="1:10" x14ac:dyDescent="0.35">
      <c r="A43" s="2" t="s">
        <v>51</v>
      </c>
      <c r="B43" s="3">
        <v>45696</v>
      </c>
      <c r="C43" s="2" t="s">
        <v>511</v>
      </c>
      <c r="D43" s="2" t="s">
        <v>517</v>
      </c>
      <c r="E43" s="2" t="s">
        <v>522</v>
      </c>
      <c r="F43" s="2" t="s">
        <v>575</v>
      </c>
      <c r="G43" s="2">
        <v>923.4</v>
      </c>
      <c r="H43" s="2">
        <v>4</v>
      </c>
      <c r="I43" s="5">
        <v>292.95999999999998</v>
      </c>
      <c r="J43" s="7">
        <v>0.05</v>
      </c>
    </row>
    <row r="44" spans="1:10" x14ac:dyDescent="0.35">
      <c r="A44" s="2" t="s">
        <v>52</v>
      </c>
      <c r="B44" s="3">
        <v>45880</v>
      </c>
      <c r="C44" s="2" t="s">
        <v>513</v>
      </c>
      <c r="D44" s="2" t="s">
        <v>517</v>
      </c>
      <c r="E44" s="2" t="s">
        <v>522</v>
      </c>
      <c r="F44" s="2" t="s">
        <v>563</v>
      </c>
      <c r="G44" s="2">
        <v>1228.25</v>
      </c>
      <c r="H44" s="2">
        <v>5</v>
      </c>
      <c r="I44" s="5">
        <v>537.69000000000005</v>
      </c>
      <c r="J44" s="7">
        <v>0.15</v>
      </c>
    </row>
    <row r="45" spans="1:10" x14ac:dyDescent="0.35">
      <c r="A45" s="2" t="s">
        <v>53</v>
      </c>
      <c r="B45" s="3">
        <v>45817</v>
      </c>
      <c r="C45" s="2" t="s">
        <v>510</v>
      </c>
      <c r="D45" s="2" t="s">
        <v>517</v>
      </c>
      <c r="E45" s="2" t="s">
        <v>530</v>
      </c>
      <c r="F45" s="2" t="s">
        <v>576</v>
      </c>
      <c r="G45" s="2">
        <v>40.85</v>
      </c>
      <c r="H45" s="2">
        <v>1</v>
      </c>
      <c r="I45" s="5">
        <v>18.09</v>
      </c>
      <c r="J45" s="7">
        <v>0.05</v>
      </c>
    </row>
    <row r="46" spans="1:10" x14ac:dyDescent="0.35">
      <c r="A46" s="2" t="s">
        <v>54</v>
      </c>
      <c r="B46" s="3">
        <v>45758</v>
      </c>
      <c r="C46" s="2" t="s">
        <v>511</v>
      </c>
      <c r="D46" s="2" t="s">
        <v>518</v>
      </c>
      <c r="E46" s="2" t="s">
        <v>524</v>
      </c>
      <c r="F46" s="2" t="s">
        <v>564</v>
      </c>
      <c r="G46" s="2">
        <v>59.2</v>
      </c>
      <c r="H46" s="2">
        <v>2</v>
      </c>
      <c r="I46" s="5">
        <v>17.920000000000002</v>
      </c>
      <c r="J46" s="7">
        <v>0.2</v>
      </c>
    </row>
    <row r="47" spans="1:10" x14ac:dyDescent="0.35">
      <c r="A47" s="2" t="s">
        <v>55</v>
      </c>
      <c r="B47" s="3">
        <v>45910</v>
      </c>
      <c r="C47" s="2" t="s">
        <v>510</v>
      </c>
      <c r="D47" s="2" t="s">
        <v>516</v>
      </c>
      <c r="E47" s="2" t="s">
        <v>525</v>
      </c>
      <c r="F47" s="2" t="s">
        <v>545</v>
      </c>
      <c r="G47" s="2">
        <v>207.4</v>
      </c>
      <c r="H47" s="2">
        <v>2</v>
      </c>
      <c r="I47" s="5">
        <v>87.69</v>
      </c>
      <c r="J47" s="7">
        <v>0.15</v>
      </c>
    </row>
    <row r="48" spans="1:10" x14ac:dyDescent="0.35">
      <c r="A48" s="2" t="s">
        <v>56</v>
      </c>
      <c r="B48" s="3">
        <v>45772</v>
      </c>
      <c r="C48" s="2" t="s">
        <v>512</v>
      </c>
      <c r="D48" s="2" t="s">
        <v>515</v>
      </c>
      <c r="E48" s="2" t="s">
        <v>528</v>
      </c>
      <c r="F48" s="2" t="s">
        <v>577</v>
      </c>
      <c r="G48" s="2">
        <v>319.2</v>
      </c>
      <c r="H48" s="2">
        <v>2</v>
      </c>
      <c r="I48" s="5">
        <v>114.28</v>
      </c>
      <c r="J48" s="7">
        <v>0.05</v>
      </c>
    </row>
    <row r="49" spans="1:10" x14ac:dyDescent="0.35">
      <c r="A49" s="2" t="s">
        <v>57</v>
      </c>
      <c r="B49" s="3">
        <v>45906</v>
      </c>
      <c r="C49" s="2" t="s">
        <v>511</v>
      </c>
      <c r="D49" s="2" t="s">
        <v>518</v>
      </c>
      <c r="E49" s="2" t="s">
        <v>532</v>
      </c>
      <c r="F49" s="2" t="s">
        <v>578</v>
      </c>
      <c r="G49" s="2">
        <v>200</v>
      </c>
      <c r="H49" s="2">
        <v>5</v>
      </c>
      <c r="I49" s="5">
        <v>46.61</v>
      </c>
      <c r="J49" s="7">
        <v>0</v>
      </c>
    </row>
    <row r="50" spans="1:10" x14ac:dyDescent="0.35">
      <c r="A50" s="2" t="s">
        <v>58</v>
      </c>
      <c r="B50" s="3">
        <v>45809</v>
      </c>
      <c r="C50" s="2" t="s">
        <v>510</v>
      </c>
      <c r="D50" s="2" t="s">
        <v>516</v>
      </c>
      <c r="E50" s="2" t="s">
        <v>525</v>
      </c>
      <c r="F50" s="2" t="s">
        <v>579</v>
      </c>
      <c r="G50" s="2">
        <v>2304</v>
      </c>
      <c r="H50" s="2">
        <v>3</v>
      </c>
      <c r="I50" s="5">
        <v>553.80999999999995</v>
      </c>
      <c r="J50" s="7">
        <v>0</v>
      </c>
    </row>
    <row r="51" spans="1:10" x14ac:dyDescent="0.35">
      <c r="A51" s="2" t="s">
        <v>59</v>
      </c>
      <c r="B51" s="3">
        <v>45741</v>
      </c>
      <c r="C51" s="2" t="s">
        <v>511</v>
      </c>
      <c r="D51" s="2" t="s">
        <v>518</v>
      </c>
      <c r="E51" s="2" t="s">
        <v>531</v>
      </c>
      <c r="F51" s="2" t="s">
        <v>580</v>
      </c>
      <c r="G51" s="2">
        <v>238</v>
      </c>
      <c r="H51" s="2">
        <v>7</v>
      </c>
      <c r="I51" s="5">
        <v>72.760000000000005</v>
      </c>
      <c r="J51" s="7">
        <v>0</v>
      </c>
    </row>
    <row r="52" spans="1:10" x14ac:dyDescent="0.35">
      <c r="A52" s="2" t="s">
        <v>60</v>
      </c>
      <c r="B52" s="3">
        <v>45922</v>
      </c>
      <c r="C52" s="2" t="s">
        <v>510</v>
      </c>
      <c r="D52" s="2" t="s">
        <v>516</v>
      </c>
      <c r="E52" s="2" t="s">
        <v>523</v>
      </c>
      <c r="F52" s="2" t="s">
        <v>581</v>
      </c>
      <c r="G52" s="2">
        <v>768</v>
      </c>
      <c r="H52" s="2">
        <v>3</v>
      </c>
      <c r="I52" s="5">
        <v>169.94</v>
      </c>
      <c r="J52" s="7">
        <v>0</v>
      </c>
    </row>
    <row r="53" spans="1:10" x14ac:dyDescent="0.35">
      <c r="A53" s="2" t="s">
        <v>61</v>
      </c>
      <c r="B53" s="3">
        <v>45710</v>
      </c>
      <c r="C53" s="2" t="s">
        <v>510</v>
      </c>
      <c r="D53" s="2" t="s">
        <v>517</v>
      </c>
      <c r="E53" s="2" t="s">
        <v>534</v>
      </c>
      <c r="F53" s="2" t="s">
        <v>582</v>
      </c>
      <c r="G53" s="2">
        <v>1461.6</v>
      </c>
      <c r="H53" s="2">
        <v>4</v>
      </c>
      <c r="I53" s="5">
        <v>419.98</v>
      </c>
      <c r="J53" s="7">
        <v>0.1</v>
      </c>
    </row>
    <row r="54" spans="1:10" x14ac:dyDescent="0.35">
      <c r="A54" s="2" t="s">
        <v>62</v>
      </c>
      <c r="B54" s="3">
        <v>45872</v>
      </c>
      <c r="C54" s="2" t="s">
        <v>512</v>
      </c>
      <c r="D54" s="2" t="s">
        <v>516</v>
      </c>
      <c r="E54" s="2" t="s">
        <v>523</v>
      </c>
      <c r="F54" s="2" t="s">
        <v>583</v>
      </c>
      <c r="G54" s="2">
        <v>3667</v>
      </c>
      <c r="H54" s="2">
        <v>5</v>
      </c>
      <c r="I54" s="5">
        <v>1213</v>
      </c>
      <c r="J54" s="7">
        <v>0.05</v>
      </c>
    </row>
    <row r="55" spans="1:10" x14ac:dyDescent="0.35">
      <c r="A55" s="2" t="s">
        <v>63</v>
      </c>
      <c r="B55" s="3">
        <v>45940</v>
      </c>
      <c r="C55" s="2" t="s">
        <v>513</v>
      </c>
      <c r="D55" s="2" t="s">
        <v>517</v>
      </c>
      <c r="E55" s="2" t="s">
        <v>534</v>
      </c>
      <c r="F55" s="2" t="s">
        <v>584</v>
      </c>
      <c r="G55" s="2">
        <v>361.6</v>
      </c>
      <c r="H55" s="2">
        <v>4</v>
      </c>
      <c r="I55" s="5">
        <v>140.99</v>
      </c>
      <c r="J55" s="7">
        <v>0.2</v>
      </c>
    </row>
    <row r="56" spans="1:10" x14ac:dyDescent="0.35">
      <c r="A56" s="2" t="s">
        <v>64</v>
      </c>
      <c r="B56" s="3">
        <v>45984</v>
      </c>
      <c r="C56" s="2" t="s">
        <v>512</v>
      </c>
      <c r="D56" s="2" t="s">
        <v>516</v>
      </c>
      <c r="E56" s="2" t="s">
        <v>525</v>
      </c>
      <c r="F56" s="2" t="s">
        <v>548</v>
      </c>
      <c r="G56" s="2">
        <v>2131.8000000000002</v>
      </c>
      <c r="H56" s="2">
        <v>6</v>
      </c>
      <c r="I56" s="5">
        <v>823.08</v>
      </c>
      <c r="J56" s="7">
        <v>0.15</v>
      </c>
    </row>
    <row r="57" spans="1:10" x14ac:dyDescent="0.35">
      <c r="A57" s="2" t="s">
        <v>65</v>
      </c>
      <c r="B57" s="3">
        <v>45748</v>
      </c>
      <c r="C57" s="2" t="s">
        <v>513</v>
      </c>
      <c r="D57" s="2" t="s">
        <v>518</v>
      </c>
      <c r="E57" s="2" t="s">
        <v>524</v>
      </c>
      <c r="F57" s="2" t="s">
        <v>557</v>
      </c>
      <c r="G57" s="2">
        <v>331.5</v>
      </c>
      <c r="H57" s="2">
        <v>6</v>
      </c>
      <c r="I57" s="5">
        <v>99.2</v>
      </c>
      <c r="J57" s="7">
        <v>0.15</v>
      </c>
    </row>
    <row r="58" spans="1:10" x14ac:dyDescent="0.35">
      <c r="A58" s="2" t="s">
        <v>66</v>
      </c>
      <c r="B58" s="3">
        <v>45974</v>
      </c>
      <c r="C58" s="2" t="s">
        <v>510</v>
      </c>
      <c r="D58" s="2" t="s">
        <v>515</v>
      </c>
      <c r="E58" s="2" t="s">
        <v>526</v>
      </c>
      <c r="F58" s="2" t="s">
        <v>585</v>
      </c>
      <c r="G58" s="2">
        <v>883.5</v>
      </c>
      <c r="H58" s="2">
        <v>6</v>
      </c>
      <c r="I58" s="5">
        <v>220.82</v>
      </c>
      <c r="J58" s="7">
        <v>0.05</v>
      </c>
    </row>
    <row r="59" spans="1:10" x14ac:dyDescent="0.35">
      <c r="A59" s="2" t="s">
        <v>67</v>
      </c>
      <c r="B59" s="3">
        <v>45791</v>
      </c>
      <c r="C59" s="2" t="s">
        <v>513</v>
      </c>
      <c r="D59" s="2" t="s">
        <v>515</v>
      </c>
      <c r="E59" s="2" t="s">
        <v>528</v>
      </c>
      <c r="F59" s="2" t="s">
        <v>586</v>
      </c>
      <c r="G59" s="2">
        <v>381</v>
      </c>
      <c r="H59" s="2">
        <v>3</v>
      </c>
      <c r="I59" s="5">
        <v>148.44999999999999</v>
      </c>
      <c r="J59" s="7">
        <v>0</v>
      </c>
    </row>
    <row r="60" spans="1:10" x14ac:dyDescent="0.35">
      <c r="A60" s="2" t="s">
        <v>68</v>
      </c>
      <c r="B60" s="3">
        <v>45821</v>
      </c>
      <c r="C60" s="2" t="s">
        <v>510</v>
      </c>
      <c r="D60" s="2" t="s">
        <v>516</v>
      </c>
      <c r="E60" s="2" t="s">
        <v>521</v>
      </c>
      <c r="F60" s="2" t="s">
        <v>563</v>
      </c>
      <c r="G60" s="2">
        <v>4023</v>
      </c>
      <c r="H60" s="2">
        <v>5</v>
      </c>
      <c r="I60" s="5">
        <v>812</v>
      </c>
      <c r="J60" s="7">
        <v>0.1</v>
      </c>
    </row>
    <row r="61" spans="1:10" x14ac:dyDescent="0.35">
      <c r="A61" s="2" t="s">
        <v>69</v>
      </c>
      <c r="B61" s="3">
        <v>45916</v>
      </c>
      <c r="C61" s="2" t="s">
        <v>511</v>
      </c>
      <c r="D61" s="2" t="s">
        <v>518</v>
      </c>
      <c r="E61" s="2" t="s">
        <v>531</v>
      </c>
      <c r="F61" s="2" t="s">
        <v>587</v>
      </c>
      <c r="G61" s="2">
        <v>36</v>
      </c>
      <c r="H61" s="2">
        <v>2</v>
      </c>
      <c r="I61" s="5">
        <v>10.1</v>
      </c>
      <c r="J61" s="7">
        <v>0</v>
      </c>
    </row>
    <row r="62" spans="1:10" x14ac:dyDescent="0.35">
      <c r="A62" s="2" t="s">
        <v>70</v>
      </c>
      <c r="B62" s="3">
        <v>45747</v>
      </c>
      <c r="C62" s="2" t="s">
        <v>511</v>
      </c>
      <c r="D62" s="2" t="s">
        <v>517</v>
      </c>
      <c r="E62" s="2" t="s">
        <v>530</v>
      </c>
      <c r="F62" s="2" t="s">
        <v>569</v>
      </c>
      <c r="G62" s="2">
        <v>1111.5</v>
      </c>
      <c r="H62" s="2">
        <v>6</v>
      </c>
      <c r="I62" s="5">
        <v>443.72</v>
      </c>
      <c r="J62" s="7">
        <v>0.05</v>
      </c>
    </row>
    <row r="63" spans="1:10" x14ac:dyDescent="0.35">
      <c r="A63" s="2" t="s">
        <v>71</v>
      </c>
      <c r="B63" s="3">
        <v>45869</v>
      </c>
      <c r="C63" s="2" t="s">
        <v>512</v>
      </c>
      <c r="D63" s="2" t="s">
        <v>517</v>
      </c>
      <c r="E63" s="2" t="s">
        <v>530</v>
      </c>
      <c r="F63" s="2" t="s">
        <v>588</v>
      </c>
      <c r="G63" s="2">
        <v>1068</v>
      </c>
      <c r="H63" s="2">
        <v>4</v>
      </c>
      <c r="I63" s="5">
        <v>399.93</v>
      </c>
      <c r="J63" s="7">
        <v>0</v>
      </c>
    </row>
    <row r="64" spans="1:10" x14ac:dyDescent="0.35">
      <c r="A64" s="2" t="s">
        <v>72</v>
      </c>
      <c r="B64" s="3">
        <v>45969</v>
      </c>
      <c r="C64" s="2" t="s">
        <v>513</v>
      </c>
      <c r="D64" s="2" t="s">
        <v>517</v>
      </c>
      <c r="E64" s="2" t="s">
        <v>534</v>
      </c>
      <c r="F64" s="2" t="s">
        <v>589</v>
      </c>
      <c r="G64" s="2">
        <v>605</v>
      </c>
      <c r="H64" s="2">
        <v>5</v>
      </c>
      <c r="I64" s="5">
        <v>203.93</v>
      </c>
      <c r="J64" s="7">
        <v>0</v>
      </c>
    </row>
    <row r="65" spans="1:10" x14ac:dyDescent="0.35">
      <c r="A65" s="2" t="s">
        <v>73</v>
      </c>
      <c r="B65" s="3">
        <v>45720</v>
      </c>
      <c r="C65" s="2" t="s">
        <v>512</v>
      </c>
      <c r="D65" s="2" t="s">
        <v>516</v>
      </c>
      <c r="E65" s="2" t="s">
        <v>523</v>
      </c>
      <c r="F65" s="2" t="s">
        <v>580</v>
      </c>
      <c r="G65" s="2">
        <v>407.7</v>
      </c>
      <c r="H65" s="2">
        <v>1</v>
      </c>
      <c r="I65" s="5">
        <v>118.06</v>
      </c>
      <c r="J65" s="7">
        <v>0.1</v>
      </c>
    </row>
    <row r="66" spans="1:10" x14ac:dyDescent="0.35">
      <c r="A66" s="2" t="s">
        <v>74</v>
      </c>
      <c r="B66" s="3">
        <v>45663</v>
      </c>
      <c r="C66" s="2" t="s">
        <v>511</v>
      </c>
      <c r="D66" s="2" t="s">
        <v>515</v>
      </c>
      <c r="E66" s="2" t="s">
        <v>526</v>
      </c>
      <c r="F66" s="2" t="s">
        <v>590</v>
      </c>
      <c r="G66" s="2">
        <v>89.6</v>
      </c>
      <c r="H66" s="2">
        <v>1</v>
      </c>
      <c r="I66" s="5">
        <v>38.96</v>
      </c>
      <c r="J66" s="7">
        <v>0.2</v>
      </c>
    </row>
    <row r="67" spans="1:10" x14ac:dyDescent="0.35">
      <c r="A67" s="2" t="s">
        <v>75</v>
      </c>
      <c r="B67" s="3">
        <v>45802</v>
      </c>
      <c r="C67" s="2" t="s">
        <v>512</v>
      </c>
      <c r="D67" s="2" t="s">
        <v>516</v>
      </c>
      <c r="E67" s="2" t="s">
        <v>535</v>
      </c>
      <c r="F67" s="2" t="s">
        <v>591</v>
      </c>
      <c r="G67" s="2">
        <v>1470.6</v>
      </c>
      <c r="H67" s="2">
        <v>3</v>
      </c>
      <c r="I67" s="5">
        <v>324.41000000000003</v>
      </c>
      <c r="J67" s="7">
        <v>0.05</v>
      </c>
    </row>
    <row r="68" spans="1:10" x14ac:dyDescent="0.35">
      <c r="A68" s="2" t="s">
        <v>76</v>
      </c>
      <c r="B68" s="3">
        <v>45945</v>
      </c>
      <c r="C68" s="2" t="s">
        <v>513</v>
      </c>
      <c r="D68" s="2" t="s">
        <v>516</v>
      </c>
      <c r="E68" s="2" t="s">
        <v>535</v>
      </c>
      <c r="F68" s="2" t="s">
        <v>549</v>
      </c>
      <c r="G68" s="2">
        <v>130</v>
      </c>
      <c r="H68" s="2">
        <v>1</v>
      </c>
      <c r="I68" s="5">
        <v>34.92</v>
      </c>
      <c r="J68" s="7">
        <v>0</v>
      </c>
    </row>
    <row r="69" spans="1:10" x14ac:dyDescent="0.35">
      <c r="A69" s="2" t="s">
        <v>77</v>
      </c>
      <c r="B69" s="3">
        <v>45925</v>
      </c>
      <c r="C69" s="2" t="s">
        <v>512</v>
      </c>
      <c r="D69" s="2" t="s">
        <v>515</v>
      </c>
      <c r="E69" s="2" t="s">
        <v>520</v>
      </c>
      <c r="F69" s="2" t="s">
        <v>560</v>
      </c>
      <c r="G69" s="2">
        <v>1108.8</v>
      </c>
      <c r="H69" s="2">
        <v>7</v>
      </c>
      <c r="I69" s="5">
        <v>343.24</v>
      </c>
      <c r="J69" s="7">
        <v>0.1</v>
      </c>
    </row>
    <row r="70" spans="1:10" x14ac:dyDescent="0.35">
      <c r="A70" s="2" t="s">
        <v>78</v>
      </c>
      <c r="B70" s="3">
        <v>45723</v>
      </c>
      <c r="C70" s="2" t="s">
        <v>510</v>
      </c>
      <c r="D70" s="2" t="s">
        <v>518</v>
      </c>
      <c r="E70" s="2" t="s">
        <v>531</v>
      </c>
      <c r="F70" s="2" t="s">
        <v>550</v>
      </c>
      <c r="G70" s="2">
        <v>100.8</v>
      </c>
      <c r="H70" s="2">
        <v>6</v>
      </c>
      <c r="I70" s="5">
        <v>28.48</v>
      </c>
      <c r="J70" s="7">
        <v>0.2</v>
      </c>
    </row>
    <row r="71" spans="1:10" x14ac:dyDescent="0.35">
      <c r="A71" s="2" t="s">
        <v>79</v>
      </c>
      <c r="B71" s="3">
        <v>45965</v>
      </c>
      <c r="C71" s="2" t="s">
        <v>512</v>
      </c>
      <c r="D71" s="2" t="s">
        <v>517</v>
      </c>
      <c r="E71" s="2" t="s">
        <v>530</v>
      </c>
      <c r="F71" s="2" t="s">
        <v>592</v>
      </c>
      <c r="G71" s="2">
        <v>1198.8</v>
      </c>
      <c r="H71" s="2">
        <v>4</v>
      </c>
      <c r="I71" s="5">
        <v>510</v>
      </c>
      <c r="J71" s="7">
        <v>0.1</v>
      </c>
    </row>
    <row r="72" spans="1:10" x14ac:dyDescent="0.35">
      <c r="A72" s="2" t="s">
        <v>80</v>
      </c>
      <c r="B72" s="3">
        <v>45841</v>
      </c>
      <c r="C72" s="2" t="s">
        <v>512</v>
      </c>
      <c r="D72" s="2" t="s">
        <v>518</v>
      </c>
      <c r="E72" s="2" t="s">
        <v>532</v>
      </c>
      <c r="F72" s="2" t="s">
        <v>593</v>
      </c>
      <c r="G72" s="2">
        <v>50.4</v>
      </c>
      <c r="H72" s="2">
        <v>7</v>
      </c>
      <c r="I72" s="5">
        <v>20.68</v>
      </c>
      <c r="J72" s="7">
        <v>0.2</v>
      </c>
    </row>
    <row r="73" spans="1:10" x14ac:dyDescent="0.35">
      <c r="A73" s="2" t="s">
        <v>81</v>
      </c>
      <c r="B73" s="3">
        <v>45892</v>
      </c>
      <c r="C73" s="2" t="s">
        <v>510</v>
      </c>
      <c r="D73" s="2" t="s">
        <v>516</v>
      </c>
      <c r="E73" s="2" t="s">
        <v>521</v>
      </c>
      <c r="F73" s="2" t="s">
        <v>594</v>
      </c>
      <c r="G73" s="2">
        <v>562.4</v>
      </c>
      <c r="H73" s="2">
        <v>4</v>
      </c>
      <c r="I73" s="5">
        <v>203.16</v>
      </c>
      <c r="J73" s="7">
        <v>0.05</v>
      </c>
    </row>
    <row r="74" spans="1:10" x14ac:dyDescent="0.35">
      <c r="A74" s="2" t="s">
        <v>82</v>
      </c>
      <c r="B74" s="3">
        <v>45841</v>
      </c>
      <c r="C74" s="2" t="s">
        <v>512</v>
      </c>
      <c r="D74" s="2" t="s">
        <v>515</v>
      </c>
      <c r="E74" s="2" t="s">
        <v>528</v>
      </c>
      <c r="F74" s="2" t="s">
        <v>551</v>
      </c>
      <c r="G74" s="2">
        <v>648.54999999999995</v>
      </c>
      <c r="H74" s="2">
        <v>7</v>
      </c>
      <c r="I74" s="5">
        <v>260</v>
      </c>
      <c r="J74" s="7">
        <v>0.15</v>
      </c>
    </row>
    <row r="75" spans="1:10" x14ac:dyDescent="0.35">
      <c r="A75" s="2" t="s">
        <v>83</v>
      </c>
      <c r="B75" s="3">
        <v>45749</v>
      </c>
      <c r="C75" s="2" t="s">
        <v>513</v>
      </c>
      <c r="D75" s="2" t="s">
        <v>515</v>
      </c>
      <c r="E75" s="2" t="s">
        <v>526</v>
      </c>
      <c r="F75" s="2" t="s">
        <v>595</v>
      </c>
      <c r="G75" s="2">
        <v>337.5</v>
      </c>
      <c r="H75" s="2">
        <v>5</v>
      </c>
      <c r="I75" s="5">
        <v>76.989999999999995</v>
      </c>
      <c r="J75" s="7">
        <v>0.1</v>
      </c>
    </row>
    <row r="76" spans="1:10" x14ac:dyDescent="0.35">
      <c r="A76" s="2" t="s">
        <v>84</v>
      </c>
      <c r="B76" s="3">
        <v>45875</v>
      </c>
      <c r="C76" s="2" t="s">
        <v>512</v>
      </c>
      <c r="D76" s="2" t="s">
        <v>517</v>
      </c>
      <c r="E76" s="2" t="s">
        <v>529</v>
      </c>
      <c r="F76" s="2" t="s">
        <v>596</v>
      </c>
      <c r="G76" s="2">
        <v>980.4</v>
      </c>
      <c r="H76" s="2">
        <v>6</v>
      </c>
      <c r="I76" s="5">
        <v>407.1</v>
      </c>
      <c r="J76" s="7">
        <v>0.05</v>
      </c>
    </row>
    <row r="77" spans="1:10" x14ac:dyDescent="0.35">
      <c r="A77" s="2" t="s">
        <v>85</v>
      </c>
      <c r="B77" s="3">
        <v>45718</v>
      </c>
      <c r="C77" s="2" t="s">
        <v>512</v>
      </c>
      <c r="D77" s="2" t="s">
        <v>517</v>
      </c>
      <c r="E77" s="2" t="s">
        <v>529</v>
      </c>
      <c r="F77" s="2" t="s">
        <v>566</v>
      </c>
      <c r="G77" s="2">
        <v>1593.9</v>
      </c>
      <c r="H77" s="2">
        <v>7</v>
      </c>
      <c r="I77" s="5">
        <v>320.95</v>
      </c>
      <c r="J77" s="7">
        <v>0.1</v>
      </c>
    </row>
    <row r="78" spans="1:10" x14ac:dyDescent="0.35">
      <c r="A78" s="2" t="s">
        <v>86</v>
      </c>
      <c r="B78" s="3">
        <v>45735</v>
      </c>
      <c r="C78" s="2" t="s">
        <v>511</v>
      </c>
      <c r="D78" s="2" t="s">
        <v>518</v>
      </c>
      <c r="E78" s="2" t="s">
        <v>531</v>
      </c>
      <c r="F78" s="2" t="s">
        <v>539</v>
      </c>
      <c r="G78" s="2">
        <v>57</v>
      </c>
      <c r="H78" s="2">
        <v>1</v>
      </c>
      <c r="I78" s="5">
        <v>13.95</v>
      </c>
      <c r="J78" s="7">
        <v>0.05</v>
      </c>
    </row>
    <row r="79" spans="1:10" x14ac:dyDescent="0.35">
      <c r="A79" s="2" t="s">
        <v>87</v>
      </c>
      <c r="B79" s="3">
        <v>45895</v>
      </c>
      <c r="C79" s="2" t="s">
        <v>510</v>
      </c>
      <c r="D79" s="2" t="s">
        <v>516</v>
      </c>
      <c r="E79" s="2" t="s">
        <v>535</v>
      </c>
      <c r="F79" s="2" t="s">
        <v>597</v>
      </c>
      <c r="G79" s="2">
        <v>4201.2</v>
      </c>
      <c r="H79" s="2">
        <v>6</v>
      </c>
      <c r="I79" s="5">
        <v>875.09</v>
      </c>
      <c r="J79" s="7">
        <v>0.1</v>
      </c>
    </row>
    <row r="80" spans="1:10" x14ac:dyDescent="0.35">
      <c r="A80" s="2" t="s">
        <v>88</v>
      </c>
      <c r="B80" s="3">
        <v>45930</v>
      </c>
      <c r="C80" s="2" t="s">
        <v>510</v>
      </c>
      <c r="D80" s="2" t="s">
        <v>517</v>
      </c>
      <c r="E80" s="2" t="s">
        <v>522</v>
      </c>
      <c r="F80" s="2" t="s">
        <v>580</v>
      </c>
      <c r="G80" s="2">
        <v>658.35</v>
      </c>
      <c r="H80" s="2">
        <v>3</v>
      </c>
      <c r="I80" s="5">
        <v>196.01</v>
      </c>
      <c r="J80" s="7">
        <v>0.05</v>
      </c>
    </row>
    <row r="81" spans="1:10" x14ac:dyDescent="0.35">
      <c r="A81" s="2" t="s">
        <v>89</v>
      </c>
      <c r="B81" s="3">
        <v>45724</v>
      </c>
      <c r="C81" s="2" t="s">
        <v>512</v>
      </c>
      <c r="D81" s="2" t="s">
        <v>517</v>
      </c>
      <c r="E81" s="2" t="s">
        <v>522</v>
      </c>
      <c r="F81" s="2" t="s">
        <v>589</v>
      </c>
      <c r="G81" s="2">
        <v>736</v>
      </c>
      <c r="H81" s="2">
        <v>4</v>
      </c>
      <c r="I81" s="5">
        <v>196.25</v>
      </c>
      <c r="J81" s="7">
        <v>0</v>
      </c>
    </row>
    <row r="82" spans="1:10" x14ac:dyDescent="0.35">
      <c r="A82" s="2" t="s">
        <v>90</v>
      </c>
      <c r="B82" s="3">
        <v>45699</v>
      </c>
      <c r="C82" s="2" t="s">
        <v>512</v>
      </c>
      <c r="D82" s="2" t="s">
        <v>517</v>
      </c>
      <c r="E82" s="2" t="s">
        <v>534</v>
      </c>
      <c r="F82" s="2" t="s">
        <v>598</v>
      </c>
      <c r="G82" s="2">
        <v>292</v>
      </c>
      <c r="H82" s="2">
        <v>4</v>
      </c>
      <c r="I82" s="5">
        <v>86.9</v>
      </c>
      <c r="J82" s="7">
        <v>0</v>
      </c>
    </row>
    <row r="83" spans="1:10" x14ac:dyDescent="0.35">
      <c r="A83" s="2" t="s">
        <v>91</v>
      </c>
      <c r="B83" s="3">
        <v>45807</v>
      </c>
      <c r="C83" s="2" t="s">
        <v>512</v>
      </c>
      <c r="D83" s="2" t="s">
        <v>517</v>
      </c>
      <c r="E83" s="2" t="s">
        <v>530</v>
      </c>
      <c r="F83" s="2" t="s">
        <v>599</v>
      </c>
      <c r="G83" s="2">
        <v>424</v>
      </c>
      <c r="H83" s="2">
        <v>2</v>
      </c>
      <c r="I83" s="5">
        <v>83.91</v>
      </c>
      <c r="J83" s="7">
        <v>0.2</v>
      </c>
    </row>
    <row r="84" spans="1:10" x14ac:dyDescent="0.35">
      <c r="A84" s="2" t="s">
        <v>92</v>
      </c>
      <c r="B84" s="3">
        <v>45900</v>
      </c>
      <c r="C84" s="2" t="s">
        <v>510</v>
      </c>
      <c r="D84" s="2" t="s">
        <v>515</v>
      </c>
      <c r="E84" s="2" t="s">
        <v>520</v>
      </c>
      <c r="F84" s="2" t="s">
        <v>600</v>
      </c>
      <c r="G84" s="2">
        <v>304</v>
      </c>
      <c r="H84" s="2">
        <v>4</v>
      </c>
      <c r="I84" s="5">
        <v>130.21</v>
      </c>
      <c r="J84" s="7">
        <v>0</v>
      </c>
    </row>
    <row r="85" spans="1:10" x14ac:dyDescent="0.35">
      <c r="A85" s="2" t="s">
        <v>93</v>
      </c>
      <c r="B85" s="3">
        <v>45719</v>
      </c>
      <c r="C85" s="2" t="s">
        <v>512</v>
      </c>
      <c r="D85" s="2" t="s">
        <v>519</v>
      </c>
      <c r="E85" s="2" t="s">
        <v>521</v>
      </c>
      <c r="F85" s="2" t="s">
        <v>592</v>
      </c>
      <c r="G85" s="2">
        <v>595</v>
      </c>
      <c r="H85" s="2">
        <v>7</v>
      </c>
      <c r="I85" s="5">
        <v>188.91</v>
      </c>
      <c r="J85" s="7">
        <v>0</v>
      </c>
    </row>
    <row r="86" spans="1:10" x14ac:dyDescent="0.35">
      <c r="A86" s="2" t="s">
        <v>94</v>
      </c>
      <c r="B86" s="3">
        <v>45932</v>
      </c>
      <c r="C86" s="2" t="s">
        <v>511</v>
      </c>
      <c r="D86" s="2" t="s">
        <v>515</v>
      </c>
      <c r="E86" s="2" t="s">
        <v>520</v>
      </c>
      <c r="F86" s="2" t="s">
        <v>601</v>
      </c>
      <c r="G86" s="2">
        <v>110.2</v>
      </c>
      <c r="H86" s="2">
        <v>2</v>
      </c>
      <c r="I86" s="5">
        <v>39.96</v>
      </c>
      <c r="J86" s="7">
        <v>0.05</v>
      </c>
    </row>
    <row r="87" spans="1:10" x14ac:dyDescent="0.35">
      <c r="A87" s="2" t="s">
        <v>95</v>
      </c>
      <c r="B87" s="3">
        <v>46013</v>
      </c>
      <c r="C87" s="2" t="s">
        <v>512</v>
      </c>
      <c r="D87" s="2" t="s">
        <v>516</v>
      </c>
      <c r="E87" s="2" t="s">
        <v>521</v>
      </c>
      <c r="F87" s="2" t="s">
        <v>602</v>
      </c>
      <c r="G87" s="2">
        <v>448</v>
      </c>
      <c r="H87" s="2">
        <v>7</v>
      </c>
      <c r="I87" s="5">
        <v>140.38</v>
      </c>
      <c r="J87" s="7">
        <v>0.2</v>
      </c>
    </row>
    <row r="88" spans="1:10" x14ac:dyDescent="0.35">
      <c r="A88" s="2" t="s">
        <v>96</v>
      </c>
      <c r="B88" s="3">
        <v>45825</v>
      </c>
      <c r="C88" s="2" t="s">
        <v>513</v>
      </c>
      <c r="D88" s="2" t="s">
        <v>516</v>
      </c>
      <c r="E88" s="2" t="s">
        <v>535</v>
      </c>
      <c r="F88" s="2" t="s">
        <v>576</v>
      </c>
      <c r="G88" s="2">
        <v>151.30000000000001</v>
      </c>
      <c r="H88" s="2">
        <v>2</v>
      </c>
      <c r="I88" s="5">
        <v>59.84</v>
      </c>
      <c r="J88" s="7">
        <v>0.15</v>
      </c>
    </row>
    <row r="89" spans="1:10" x14ac:dyDescent="0.35">
      <c r="A89" s="2" t="s">
        <v>97</v>
      </c>
      <c r="B89" s="3">
        <v>45962</v>
      </c>
      <c r="C89" s="2" t="s">
        <v>512</v>
      </c>
      <c r="D89" s="2" t="s">
        <v>516</v>
      </c>
      <c r="E89" s="2" t="s">
        <v>523</v>
      </c>
      <c r="F89" s="2" t="s">
        <v>603</v>
      </c>
      <c r="G89" s="2">
        <v>1836</v>
      </c>
      <c r="H89" s="2">
        <v>5</v>
      </c>
      <c r="I89" s="5">
        <v>653.26</v>
      </c>
      <c r="J89" s="7">
        <v>0.1</v>
      </c>
    </row>
    <row r="90" spans="1:10" x14ac:dyDescent="0.35">
      <c r="A90" s="2" t="s">
        <v>98</v>
      </c>
      <c r="B90" s="3">
        <v>45692</v>
      </c>
      <c r="C90" s="2" t="s">
        <v>512</v>
      </c>
      <c r="D90" s="2" t="s">
        <v>518</v>
      </c>
      <c r="E90" s="2" t="s">
        <v>524</v>
      </c>
      <c r="F90" s="2" t="s">
        <v>600</v>
      </c>
      <c r="G90" s="2">
        <v>158</v>
      </c>
      <c r="H90" s="2">
        <v>2</v>
      </c>
      <c r="I90" s="5">
        <v>62.35</v>
      </c>
      <c r="J90" s="7">
        <v>0</v>
      </c>
    </row>
    <row r="91" spans="1:10" x14ac:dyDescent="0.35">
      <c r="A91" s="2" t="s">
        <v>99</v>
      </c>
      <c r="B91" s="3">
        <v>45870</v>
      </c>
      <c r="C91" s="2" t="s">
        <v>512</v>
      </c>
      <c r="D91" s="2" t="s">
        <v>518</v>
      </c>
      <c r="E91" s="2" t="s">
        <v>532</v>
      </c>
      <c r="F91" s="2" t="s">
        <v>584</v>
      </c>
      <c r="G91" s="2">
        <v>61.2</v>
      </c>
      <c r="H91" s="2">
        <v>4</v>
      </c>
      <c r="I91" s="5">
        <v>24.84</v>
      </c>
      <c r="J91" s="7">
        <v>0.15</v>
      </c>
    </row>
    <row r="92" spans="1:10" x14ac:dyDescent="0.35">
      <c r="A92" s="2" t="s">
        <v>100</v>
      </c>
      <c r="B92" s="3">
        <v>45953</v>
      </c>
      <c r="C92" s="2" t="s">
        <v>511</v>
      </c>
      <c r="D92" s="2" t="s">
        <v>515</v>
      </c>
      <c r="E92" s="2" t="s">
        <v>526</v>
      </c>
      <c r="F92" s="2" t="s">
        <v>604</v>
      </c>
      <c r="G92" s="2">
        <v>700.8</v>
      </c>
      <c r="H92" s="2">
        <v>6</v>
      </c>
      <c r="I92" s="5">
        <v>204.04</v>
      </c>
      <c r="J92" s="7">
        <v>0.2</v>
      </c>
    </row>
    <row r="93" spans="1:10" x14ac:dyDescent="0.35">
      <c r="A93" s="2" t="s">
        <v>101</v>
      </c>
      <c r="B93" s="3">
        <v>45882</v>
      </c>
      <c r="C93" s="2" t="s">
        <v>510</v>
      </c>
      <c r="D93" s="2" t="s">
        <v>518</v>
      </c>
      <c r="E93" s="2" t="s">
        <v>532</v>
      </c>
      <c r="F93" s="2" t="s">
        <v>553</v>
      </c>
      <c r="G93" s="2">
        <v>81</v>
      </c>
      <c r="H93" s="2">
        <v>3</v>
      </c>
      <c r="I93" s="5">
        <v>31.37</v>
      </c>
      <c r="J93" s="7">
        <v>0</v>
      </c>
    </row>
    <row r="94" spans="1:10" x14ac:dyDescent="0.35">
      <c r="A94" s="2" t="s">
        <v>102</v>
      </c>
      <c r="B94" s="3">
        <v>45672</v>
      </c>
      <c r="C94" s="2" t="s">
        <v>510</v>
      </c>
      <c r="D94" s="2" t="s">
        <v>518</v>
      </c>
      <c r="E94" s="2" t="s">
        <v>524</v>
      </c>
      <c r="F94" s="2" t="s">
        <v>575</v>
      </c>
      <c r="G94" s="2">
        <v>191.7</v>
      </c>
      <c r="H94" s="2">
        <v>3</v>
      </c>
      <c r="I94" s="5">
        <v>68.930000000000007</v>
      </c>
      <c r="J94" s="7">
        <v>0.1</v>
      </c>
    </row>
    <row r="95" spans="1:10" x14ac:dyDescent="0.35">
      <c r="A95" s="2" t="s">
        <v>103</v>
      </c>
      <c r="B95" s="3">
        <v>45946</v>
      </c>
      <c r="C95" s="2" t="s">
        <v>513</v>
      </c>
      <c r="D95" s="2" t="s">
        <v>518</v>
      </c>
      <c r="E95" s="2" t="s">
        <v>532</v>
      </c>
      <c r="F95" s="2" t="s">
        <v>580</v>
      </c>
      <c r="G95" s="2">
        <v>427</v>
      </c>
      <c r="H95" s="2">
        <v>7</v>
      </c>
      <c r="I95" s="5">
        <v>110.64</v>
      </c>
      <c r="J95" s="7">
        <v>0</v>
      </c>
    </row>
    <row r="96" spans="1:10" x14ac:dyDescent="0.35">
      <c r="A96" s="2" t="s">
        <v>104</v>
      </c>
      <c r="B96" s="3">
        <v>45885</v>
      </c>
      <c r="C96" s="2" t="s">
        <v>512</v>
      </c>
      <c r="D96" s="2" t="s">
        <v>517</v>
      </c>
      <c r="E96" s="2" t="s">
        <v>522</v>
      </c>
      <c r="F96" s="2" t="s">
        <v>538</v>
      </c>
      <c r="G96" s="2">
        <v>1476</v>
      </c>
      <c r="H96" s="2">
        <v>5</v>
      </c>
      <c r="I96" s="5">
        <v>620.11</v>
      </c>
      <c r="J96" s="7">
        <v>0.2</v>
      </c>
    </row>
    <row r="97" spans="1:10" x14ac:dyDescent="0.35">
      <c r="A97" s="2" t="s">
        <v>105</v>
      </c>
      <c r="B97" s="3">
        <v>45752</v>
      </c>
      <c r="C97" s="2" t="s">
        <v>510</v>
      </c>
      <c r="D97" s="2" t="s">
        <v>516</v>
      </c>
      <c r="E97" s="2" t="s">
        <v>521</v>
      </c>
      <c r="F97" s="2" t="s">
        <v>605</v>
      </c>
      <c r="G97" s="2">
        <v>944</v>
      </c>
      <c r="H97" s="2">
        <v>5</v>
      </c>
      <c r="I97" s="5">
        <v>241.28</v>
      </c>
      <c r="J97" s="7">
        <v>0.2</v>
      </c>
    </row>
    <row r="98" spans="1:10" x14ac:dyDescent="0.35">
      <c r="A98" s="2" t="s">
        <v>106</v>
      </c>
      <c r="B98" s="3">
        <v>45875</v>
      </c>
      <c r="C98" s="2" t="s">
        <v>512</v>
      </c>
      <c r="D98" s="2" t="s">
        <v>517</v>
      </c>
      <c r="E98" s="2" t="s">
        <v>534</v>
      </c>
      <c r="F98" s="2" t="s">
        <v>559</v>
      </c>
      <c r="G98" s="2">
        <v>532.95000000000005</v>
      </c>
      <c r="H98" s="2">
        <v>3</v>
      </c>
      <c r="I98" s="5">
        <v>103.52</v>
      </c>
      <c r="J98" s="7">
        <v>0.05</v>
      </c>
    </row>
    <row r="99" spans="1:10" x14ac:dyDescent="0.35">
      <c r="A99" s="2" t="s">
        <v>107</v>
      </c>
      <c r="B99" s="3">
        <v>45981</v>
      </c>
      <c r="C99" s="2" t="s">
        <v>512</v>
      </c>
      <c r="D99" s="2" t="s">
        <v>517</v>
      </c>
      <c r="E99" s="2" t="s">
        <v>522</v>
      </c>
      <c r="F99" s="2" t="s">
        <v>606</v>
      </c>
      <c r="G99" s="2">
        <v>121.55</v>
      </c>
      <c r="H99" s="2">
        <v>1</v>
      </c>
      <c r="I99" s="5">
        <v>51.34</v>
      </c>
      <c r="J99" s="7">
        <v>0.15</v>
      </c>
    </row>
    <row r="100" spans="1:10" x14ac:dyDescent="0.35">
      <c r="A100" s="2" t="s">
        <v>108</v>
      </c>
      <c r="B100" s="3">
        <v>45953</v>
      </c>
      <c r="C100" s="2" t="s">
        <v>512</v>
      </c>
      <c r="D100" s="2" t="s">
        <v>516</v>
      </c>
      <c r="E100" s="2" t="s">
        <v>521</v>
      </c>
      <c r="F100" s="2" t="s">
        <v>607</v>
      </c>
      <c r="G100" s="2">
        <v>1165.5</v>
      </c>
      <c r="H100" s="2">
        <v>7</v>
      </c>
      <c r="I100" s="5">
        <v>292.73</v>
      </c>
      <c r="J100" s="7">
        <v>0.1</v>
      </c>
    </row>
    <row r="101" spans="1:10" x14ac:dyDescent="0.35">
      <c r="A101" s="2" t="s">
        <v>109</v>
      </c>
      <c r="B101" s="3">
        <v>45712</v>
      </c>
      <c r="C101" s="2" t="s">
        <v>510</v>
      </c>
      <c r="D101" s="2" t="s">
        <v>515</v>
      </c>
      <c r="E101" s="2" t="s">
        <v>528</v>
      </c>
      <c r="F101" s="2" t="s">
        <v>547</v>
      </c>
      <c r="G101" s="2">
        <v>624</v>
      </c>
      <c r="H101" s="2">
        <v>6</v>
      </c>
      <c r="I101" s="5">
        <v>224.84</v>
      </c>
      <c r="J101" s="7">
        <v>0</v>
      </c>
    </row>
    <row r="102" spans="1:10" x14ac:dyDescent="0.35">
      <c r="A102" s="2" t="s">
        <v>110</v>
      </c>
      <c r="B102" s="3">
        <v>45901</v>
      </c>
      <c r="C102" s="2" t="s">
        <v>512</v>
      </c>
      <c r="D102" s="2" t="s">
        <v>516</v>
      </c>
      <c r="E102" s="2" t="s">
        <v>523</v>
      </c>
      <c r="F102" s="2" t="s">
        <v>557</v>
      </c>
      <c r="G102" s="2">
        <v>388</v>
      </c>
      <c r="H102" s="2">
        <v>1</v>
      </c>
      <c r="I102" s="5">
        <v>162.63</v>
      </c>
      <c r="J102" s="7">
        <v>0</v>
      </c>
    </row>
    <row r="103" spans="1:10" x14ac:dyDescent="0.35">
      <c r="A103" s="2" t="s">
        <v>111</v>
      </c>
      <c r="B103" s="3">
        <v>45908</v>
      </c>
      <c r="C103" s="2" t="s">
        <v>510</v>
      </c>
      <c r="D103" s="2" t="s">
        <v>515</v>
      </c>
      <c r="E103" s="2" t="s">
        <v>533</v>
      </c>
      <c r="F103" s="2" t="s">
        <v>608</v>
      </c>
      <c r="G103" s="2">
        <v>189</v>
      </c>
      <c r="H103" s="2">
        <v>2</v>
      </c>
      <c r="I103" s="5">
        <v>83.37</v>
      </c>
      <c r="J103" s="7">
        <v>0.1</v>
      </c>
    </row>
    <row r="104" spans="1:10" x14ac:dyDescent="0.35">
      <c r="A104" s="2" t="s">
        <v>112</v>
      </c>
      <c r="B104" s="3">
        <v>45807</v>
      </c>
      <c r="C104" s="2" t="s">
        <v>513</v>
      </c>
      <c r="D104" s="2" t="s">
        <v>515</v>
      </c>
      <c r="E104" s="2" t="s">
        <v>520</v>
      </c>
      <c r="F104" s="2" t="s">
        <v>609</v>
      </c>
      <c r="G104" s="2">
        <v>840</v>
      </c>
      <c r="H104" s="2">
        <v>6</v>
      </c>
      <c r="I104" s="5">
        <v>246.32</v>
      </c>
      <c r="J104" s="7">
        <v>0.2</v>
      </c>
    </row>
    <row r="105" spans="1:10" x14ac:dyDescent="0.35">
      <c r="A105" s="2" t="s">
        <v>113</v>
      </c>
      <c r="B105" s="3">
        <v>46017</v>
      </c>
      <c r="C105" s="2" t="s">
        <v>512</v>
      </c>
      <c r="D105" s="2" t="s">
        <v>516</v>
      </c>
      <c r="E105" s="2" t="s">
        <v>525</v>
      </c>
      <c r="F105" s="2" t="s">
        <v>610</v>
      </c>
      <c r="G105" s="2">
        <v>969.85</v>
      </c>
      <c r="H105" s="2">
        <v>7</v>
      </c>
      <c r="I105" s="5">
        <v>296.32</v>
      </c>
      <c r="J105" s="7">
        <v>0.15</v>
      </c>
    </row>
    <row r="106" spans="1:10" x14ac:dyDescent="0.35">
      <c r="A106" s="2" t="s">
        <v>114</v>
      </c>
      <c r="B106" s="3">
        <v>45815</v>
      </c>
      <c r="C106" s="2" t="s">
        <v>512</v>
      </c>
      <c r="D106" s="2" t="s">
        <v>516</v>
      </c>
      <c r="E106" s="2" t="s">
        <v>521</v>
      </c>
      <c r="F106" s="2" t="s">
        <v>611</v>
      </c>
      <c r="G106" s="2">
        <v>1323</v>
      </c>
      <c r="H106" s="2">
        <v>5</v>
      </c>
      <c r="I106" s="5">
        <v>470.55</v>
      </c>
      <c r="J106" s="7">
        <v>0.1</v>
      </c>
    </row>
    <row r="107" spans="1:10" x14ac:dyDescent="0.35">
      <c r="A107" s="2" t="s">
        <v>115</v>
      </c>
      <c r="B107" s="3">
        <v>45832</v>
      </c>
      <c r="C107" s="2" t="s">
        <v>513</v>
      </c>
      <c r="D107" s="2" t="s">
        <v>516</v>
      </c>
      <c r="E107" s="2" t="s">
        <v>525</v>
      </c>
      <c r="F107" s="2" t="s">
        <v>612</v>
      </c>
      <c r="G107" s="2">
        <v>1338</v>
      </c>
      <c r="H107" s="2">
        <v>6</v>
      </c>
      <c r="I107" s="5">
        <v>321.93</v>
      </c>
      <c r="J107" s="7">
        <v>0</v>
      </c>
    </row>
    <row r="108" spans="1:10" x14ac:dyDescent="0.35">
      <c r="A108" s="2" t="s">
        <v>116</v>
      </c>
      <c r="B108" s="3">
        <v>45819</v>
      </c>
      <c r="C108" s="2" t="s">
        <v>511</v>
      </c>
      <c r="D108" s="2" t="s">
        <v>517</v>
      </c>
      <c r="E108" s="2" t="s">
        <v>522</v>
      </c>
      <c r="F108" s="2" t="s">
        <v>613</v>
      </c>
      <c r="G108" s="2">
        <v>2289.6</v>
      </c>
      <c r="H108" s="2">
        <v>6</v>
      </c>
      <c r="I108" s="5">
        <v>799.54</v>
      </c>
      <c r="J108" s="7">
        <v>0.1</v>
      </c>
    </row>
    <row r="109" spans="1:10" x14ac:dyDescent="0.35">
      <c r="A109" s="2" t="s">
        <v>117</v>
      </c>
      <c r="B109" s="3">
        <v>45912</v>
      </c>
      <c r="C109" s="2" t="s">
        <v>512</v>
      </c>
      <c r="D109" s="2" t="s">
        <v>515</v>
      </c>
      <c r="E109" s="2" t="s">
        <v>520</v>
      </c>
      <c r="F109" s="2" t="s">
        <v>614</v>
      </c>
      <c r="G109" s="2">
        <v>44</v>
      </c>
      <c r="H109" s="2">
        <v>2</v>
      </c>
      <c r="I109" s="5">
        <v>17.16</v>
      </c>
      <c r="J109" s="7">
        <v>0</v>
      </c>
    </row>
    <row r="110" spans="1:10" x14ac:dyDescent="0.35">
      <c r="A110" s="2" t="s">
        <v>118</v>
      </c>
      <c r="B110" s="3">
        <v>45745</v>
      </c>
      <c r="C110" s="2" t="s">
        <v>513</v>
      </c>
      <c r="D110" s="2" t="s">
        <v>517</v>
      </c>
      <c r="E110" s="2" t="s">
        <v>529</v>
      </c>
      <c r="F110" s="2" t="s">
        <v>615</v>
      </c>
      <c r="G110" s="2">
        <v>704.9</v>
      </c>
      <c r="H110" s="2">
        <v>7</v>
      </c>
      <c r="I110" s="5">
        <v>163.94</v>
      </c>
      <c r="J110" s="7">
        <v>0.05</v>
      </c>
    </row>
    <row r="111" spans="1:10" x14ac:dyDescent="0.35">
      <c r="A111" s="2" t="s">
        <v>119</v>
      </c>
      <c r="B111" s="3">
        <v>45920</v>
      </c>
      <c r="C111" s="2" t="s">
        <v>512</v>
      </c>
      <c r="D111" s="2" t="s">
        <v>518</v>
      </c>
      <c r="E111" s="2" t="s">
        <v>532</v>
      </c>
      <c r="F111" s="2" t="s">
        <v>616</v>
      </c>
      <c r="G111" s="2">
        <v>282.14999999999998</v>
      </c>
      <c r="H111" s="2">
        <v>3</v>
      </c>
      <c r="I111" s="5">
        <v>125.98</v>
      </c>
      <c r="J111" s="7">
        <v>0.05</v>
      </c>
    </row>
    <row r="112" spans="1:10" x14ac:dyDescent="0.35">
      <c r="A112" s="2" t="s">
        <v>120</v>
      </c>
      <c r="B112" s="3">
        <v>45668</v>
      </c>
      <c r="C112" s="2" t="s">
        <v>513</v>
      </c>
      <c r="D112" s="2" t="s">
        <v>515</v>
      </c>
      <c r="E112" s="2" t="s">
        <v>520</v>
      </c>
      <c r="F112" s="2" t="s">
        <v>539</v>
      </c>
      <c r="G112" s="2">
        <v>480</v>
      </c>
      <c r="H112" s="2">
        <v>5</v>
      </c>
      <c r="I112" s="5">
        <v>110.06</v>
      </c>
      <c r="J112" s="7">
        <v>0</v>
      </c>
    </row>
    <row r="113" spans="1:10" x14ac:dyDescent="0.35">
      <c r="A113" s="2" t="s">
        <v>121</v>
      </c>
      <c r="B113" s="3">
        <v>46012</v>
      </c>
      <c r="C113" s="2" t="s">
        <v>511</v>
      </c>
      <c r="D113" s="2" t="s">
        <v>515</v>
      </c>
      <c r="E113" s="2" t="s">
        <v>526</v>
      </c>
      <c r="F113" s="2" t="s">
        <v>580</v>
      </c>
      <c r="G113" s="2">
        <v>133</v>
      </c>
      <c r="H113" s="2">
        <v>7</v>
      </c>
      <c r="I113" s="5">
        <v>44.19</v>
      </c>
      <c r="J113" s="7">
        <v>0</v>
      </c>
    </row>
    <row r="114" spans="1:10" x14ac:dyDescent="0.35">
      <c r="A114" s="2" t="s">
        <v>122</v>
      </c>
      <c r="B114" s="3">
        <v>45866</v>
      </c>
      <c r="C114" s="2" t="s">
        <v>513</v>
      </c>
      <c r="D114" s="2" t="s">
        <v>518</v>
      </c>
      <c r="E114" s="2" t="s">
        <v>524</v>
      </c>
      <c r="F114" s="2" t="s">
        <v>558</v>
      </c>
      <c r="G114" s="2">
        <v>63</v>
      </c>
      <c r="H114" s="2">
        <v>1</v>
      </c>
      <c r="I114" s="5">
        <v>20.100000000000001</v>
      </c>
      <c r="J114" s="7">
        <v>0</v>
      </c>
    </row>
    <row r="115" spans="1:10" x14ac:dyDescent="0.35">
      <c r="A115" s="2" t="s">
        <v>123</v>
      </c>
      <c r="B115" s="3">
        <v>45766</v>
      </c>
      <c r="C115" s="2" t="s">
        <v>513</v>
      </c>
      <c r="D115" s="2" t="s">
        <v>518</v>
      </c>
      <c r="E115" s="2" t="s">
        <v>532</v>
      </c>
      <c r="F115" s="2" t="s">
        <v>579</v>
      </c>
      <c r="G115" s="2">
        <v>38</v>
      </c>
      <c r="H115" s="2">
        <v>5</v>
      </c>
      <c r="I115" s="5">
        <v>11.71</v>
      </c>
      <c r="J115" s="7">
        <v>0.05</v>
      </c>
    </row>
    <row r="116" spans="1:10" x14ac:dyDescent="0.35">
      <c r="A116" s="2" t="s">
        <v>124</v>
      </c>
      <c r="B116" s="3">
        <v>45810</v>
      </c>
      <c r="C116" s="2" t="s">
        <v>513</v>
      </c>
      <c r="D116" s="2" t="s">
        <v>515</v>
      </c>
      <c r="E116" s="2" t="s">
        <v>533</v>
      </c>
      <c r="F116" s="2" t="s">
        <v>617</v>
      </c>
      <c r="G116" s="2">
        <v>106.4</v>
      </c>
      <c r="H116" s="2">
        <v>2</v>
      </c>
      <c r="I116" s="5">
        <v>31.96</v>
      </c>
      <c r="J116" s="7">
        <v>0.05</v>
      </c>
    </row>
    <row r="117" spans="1:10" x14ac:dyDescent="0.35">
      <c r="A117" s="2" t="s">
        <v>125</v>
      </c>
      <c r="B117" s="3">
        <v>45925</v>
      </c>
      <c r="C117" s="2" t="s">
        <v>512</v>
      </c>
      <c r="D117" s="2" t="s">
        <v>518</v>
      </c>
      <c r="E117" s="2" t="s">
        <v>527</v>
      </c>
      <c r="F117" s="2" t="s">
        <v>553</v>
      </c>
      <c r="G117" s="2">
        <v>157.5</v>
      </c>
      <c r="H117" s="2">
        <v>5</v>
      </c>
      <c r="I117" s="5">
        <v>45.47</v>
      </c>
      <c r="J117" s="7">
        <v>0.1</v>
      </c>
    </row>
    <row r="118" spans="1:10" x14ac:dyDescent="0.35">
      <c r="A118" s="2" t="s">
        <v>126</v>
      </c>
      <c r="B118" s="3">
        <v>46020</v>
      </c>
      <c r="C118" s="2" t="s">
        <v>512</v>
      </c>
      <c r="D118" s="2" t="s">
        <v>515</v>
      </c>
      <c r="E118" s="2" t="s">
        <v>533</v>
      </c>
      <c r="F118" s="2" t="s">
        <v>618</v>
      </c>
      <c r="G118" s="2">
        <v>646</v>
      </c>
      <c r="H118" s="2">
        <v>5</v>
      </c>
      <c r="I118" s="5">
        <v>261.7</v>
      </c>
      <c r="J118" s="7">
        <v>0.05</v>
      </c>
    </row>
    <row r="119" spans="1:10" x14ac:dyDescent="0.35">
      <c r="A119" s="2" t="s">
        <v>127</v>
      </c>
      <c r="B119" s="3">
        <v>45770</v>
      </c>
      <c r="C119" s="2" t="s">
        <v>510</v>
      </c>
      <c r="D119" s="2" t="s">
        <v>516</v>
      </c>
      <c r="E119" s="2" t="s">
        <v>521</v>
      </c>
      <c r="F119" s="2" t="s">
        <v>604</v>
      </c>
      <c r="G119" s="2">
        <v>2357.1</v>
      </c>
      <c r="H119" s="2">
        <v>3</v>
      </c>
      <c r="I119" s="5">
        <v>834.34</v>
      </c>
      <c r="J119" s="7">
        <v>0.1</v>
      </c>
    </row>
    <row r="120" spans="1:10" x14ac:dyDescent="0.35">
      <c r="A120" s="2" t="s">
        <v>128</v>
      </c>
      <c r="B120" s="3">
        <v>45907</v>
      </c>
      <c r="C120" s="2" t="s">
        <v>511</v>
      </c>
      <c r="D120" s="2" t="s">
        <v>518</v>
      </c>
      <c r="E120" s="2" t="s">
        <v>527</v>
      </c>
      <c r="F120" s="2" t="s">
        <v>555</v>
      </c>
      <c r="G120" s="2">
        <v>134.4</v>
      </c>
      <c r="H120" s="2">
        <v>6</v>
      </c>
      <c r="I120" s="5">
        <v>42.93</v>
      </c>
      <c r="J120" s="7">
        <v>0.2</v>
      </c>
    </row>
    <row r="121" spans="1:10" x14ac:dyDescent="0.35">
      <c r="A121" s="2" t="s">
        <v>129</v>
      </c>
      <c r="B121" s="3">
        <v>45730</v>
      </c>
      <c r="C121" s="2" t="s">
        <v>512</v>
      </c>
      <c r="D121" s="2" t="s">
        <v>515</v>
      </c>
      <c r="E121" s="2" t="s">
        <v>526</v>
      </c>
      <c r="F121" s="2" t="s">
        <v>600</v>
      </c>
      <c r="G121" s="2">
        <v>467.4</v>
      </c>
      <c r="H121" s="2">
        <v>4</v>
      </c>
      <c r="I121" s="5">
        <v>150.47999999999999</v>
      </c>
      <c r="J121" s="7">
        <v>0.05</v>
      </c>
    </row>
    <row r="122" spans="1:10" x14ac:dyDescent="0.35">
      <c r="A122" s="2" t="s">
        <v>130</v>
      </c>
      <c r="B122" s="3">
        <v>45788</v>
      </c>
      <c r="C122" s="2" t="s">
        <v>513</v>
      </c>
      <c r="D122" s="2" t="s">
        <v>516</v>
      </c>
      <c r="E122" s="2" t="s">
        <v>525</v>
      </c>
      <c r="F122" s="2" t="s">
        <v>619</v>
      </c>
      <c r="G122" s="2">
        <v>140</v>
      </c>
      <c r="H122" s="2">
        <v>1</v>
      </c>
      <c r="I122" s="5">
        <v>53.69</v>
      </c>
      <c r="J122" s="7">
        <v>0</v>
      </c>
    </row>
    <row r="123" spans="1:10" x14ac:dyDescent="0.35">
      <c r="A123" s="2" t="s">
        <v>131</v>
      </c>
      <c r="B123" s="3">
        <v>45962</v>
      </c>
      <c r="C123" s="2" t="s">
        <v>512</v>
      </c>
      <c r="D123" s="2" t="s">
        <v>518</v>
      </c>
      <c r="E123" s="2" t="s">
        <v>527</v>
      </c>
      <c r="F123" s="2" t="s">
        <v>620</v>
      </c>
      <c r="G123" s="2">
        <v>110.4</v>
      </c>
      <c r="H123" s="2">
        <v>6</v>
      </c>
      <c r="I123" s="5">
        <v>46.95</v>
      </c>
      <c r="J123" s="7">
        <v>0.2</v>
      </c>
    </row>
    <row r="124" spans="1:10" x14ac:dyDescent="0.35">
      <c r="A124" s="2" t="s">
        <v>132</v>
      </c>
      <c r="B124" s="3">
        <v>45806</v>
      </c>
      <c r="C124" s="2" t="s">
        <v>512</v>
      </c>
      <c r="D124" s="2" t="s">
        <v>517</v>
      </c>
      <c r="E124" s="2" t="s">
        <v>529</v>
      </c>
      <c r="F124" s="2" t="s">
        <v>621</v>
      </c>
      <c r="G124" s="2">
        <v>2154.6</v>
      </c>
      <c r="H124" s="2">
        <v>7</v>
      </c>
      <c r="I124" s="5">
        <v>543.6</v>
      </c>
      <c r="J124" s="7">
        <v>0.1</v>
      </c>
    </row>
    <row r="125" spans="1:10" x14ac:dyDescent="0.35">
      <c r="A125" s="2" t="s">
        <v>133</v>
      </c>
      <c r="B125" s="3">
        <v>46022</v>
      </c>
      <c r="C125" s="2" t="s">
        <v>513</v>
      </c>
      <c r="D125" s="2" t="s">
        <v>518</v>
      </c>
      <c r="E125" s="2" t="s">
        <v>532</v>
      </c>
      <c r="F125" s="2" t="s">
        <v>622</v>
      </c>
      <c r="G125" s="2">
        <v>17.100000000000001</v>
      </c>
      <c r="H125" s="2">
        <v>1</v>
      </c>
      <c r="I125" s="5">
        <v>3.13</v>
      </c>
      <c r="J125" s="7">
        <v>0.1</v>
      </c>
    </row>
    <row r="126" spans="1:10" x14ac:dyDescent="0.35">
      <c r="A126" s="2" t="s">
        <v>134</v>
      </c>
      <c r="B126" s="3">
        <v>45992</v>
      </c>
      <c r="C126" s="2" t="s">
        <v>512</v>
      </c>
      <c r="D126" s="2" t="s">
        <v>518</v>
      </c>
      <c r="E126" s="2" t="s">
        <v>532</v>
      </c>
      <c r="F126" s="2" t="s">
        <v>623</v>
      </c>
      <c r="G126" s="2">
        <v>591.85</v>
      </c>
      <c r="H126" s="2">
        <v>7</v>
      </c>
      <c r="I126" s="5">
        <v>216.34</v>
      </c>
      <c r="J126" s="7">
        <v>0.05</v>
      </c>
    </row>
    <row r="127" spans="1:10" x14ac:dyDescent="0.35">
      <c r="A127" s="2" t="s">
        <v>135</v>
      </c>
      <c r="B127" s="3">
        <v>45760</v>
      </c>
      <c r="C127" s="2" t="s">
        <v>512</v>
      </c>
      <c r="D127" s="2" t="s">
        <v>516</v>
      </c>
      <c r="E127" s="2" t="s">
        <v>523</v>
      </c>
      <c r="F127" s="2" t="s">
        <v>541</v>
      </c>
      <c r="G127" s="2">
        <v>1450.8</v>
      </c>
      <c r="H127" s="2">
        <v>2</v>
      </c>
      <c r="I127" s="5">
        <v>527.86</v>
      </c>
      <c r="J127" s="7">
        <v>0.1</v>
      </c>
    </row>
    <row r="128" spans="1:10" x14ac:dyDescent="0.35">
      <c r="A128" s="2" t="s">
        <v>136</v>
      </c>
      <c r="B128" s="3">
        <v>45840</v>
      </c>
      <c r="C128" s="2" t="s">
        <v>510</v>
      </c>
      <c r="D128" s="2" t="s">
        <v>515</v>
      </c>
      <c r="E128" s="2" t="s">
        <v>520</v>
      </c>
      <c r="F128" s="2" t="s">
        <v>619</v>
      </c>
      <c r="G128" s="2">
        <v>141.6</v>
      </c>
      <c r="H128" s="2">
        <v>3</v>
      </c>
      <c r="I128" s="5">
        <v>43.45</v>
      </c>
      <c r="J128" s="7"/>
    </row>
    <row r="129" spans="1:10" x14ac:dyDescent="0.35">
      <c r="A129" s="2" t="s">
        <v>137</v>
      </c>
      <c r="B129" s="3">
        <v>45765</v>
      </c>
      <c r="C129" s="2" t="s">
        <v>513</v>
      </c>
      <c r="D129" s="2" t="s">
        <v>515</v>
      </c>
      <c r="E129" s="2" t="s">
        <v>526</v>
      </c>
      <c r="F129" s="2" t="s">
        <v>624</v>
      </c>
      <c r="G129" s="2">
        <v>158.65</v>
      </c>
      <c r="H129" s="2">
        <v>1</v>
      </c>
      <c r="I129" s="5">
        <v>49.11</v>
      </c>
      <c r="J129" s="7">
        <v>0.05</v>
      </c>
    </row>
    <row r="130" spans="1:10" x14ac:dyDescent="0.35">
      <c r="A130" s="2" t="s">
        <v>138</v>
      </c>
      <c r="B130" s="3">
        <v>45884</v>
      </c>
      <c r="C130" s="2" t="s">
        <v>510</v>
      </c>
      <c r="D130" s="2" t="s">
        <v>515</v>
      </c>
      <c r="E130" s="2" t="s">
        <v>533</v>
      </c>
      <c r="F130" s="2" t="s">
        <v>604</v>
      </c>
      <c r="G130" s="2">
        <v>51.3</v>
      </c>
      <c r="H130" s="2">
        <v>2</v>
      </c>
      <c r="I130" s="5">
        <v>10.08</v>
      </c>
      <c r="J130" s="7">
        <v>0.05</v>
      </c>
    </row>
    <row r="131" spans="1:10" x14ac:dyDescent="0.35">
      <c r="A131" s="2" t="s">
        <v>139</v>
      </c>
      <c r="B131" s="3">
        <v>45923</v>
      </c>
      <c r="C131" s="2" t="s">
        <v>513</v>
      </c>
      <c r="D131" s="2" t="s">
        <v>517</v>
      </c>
      <c r="E131" s="2" t="s">
        <v>530</v>
      </c>
      <c r="F131" s="2" t="s">
        <v>550</v>
      </c>
      <c r="G131" s="2">
        <v>1517.25</v>
      </c>
      <c r="H131" s="2">
        <v>5</v>
      </c>
      <c r="I131" s="5">
        <v>279.63</v>
      </c>
      <c r="J131" s="7">
        <v>0.15</v>
      </c>
    </row>
    <row r="132" spans="1:10" x14ac:dyDescent="0.35">
      <c r="A132" s="2" t="s">
        <v>140</v>
      </c>
      <c r="B132" s="3">
        <v>45950</v>
      </c>
      <c r="C132" s="2" t="s">
        <v>512</v>
      </c>
      <c r="D132" s="2" t="s">
        <v>518</v>
      </c>
      <c r="E132" s="2" t="s">
        <v>531</v>
      </c>
      <c r="F132" s="2" t="s">
        <v>596</v>
      </c>
      <c r="G132" s="2">
        <v>32.299999999999997</v>
      </c>
      <c r="H132" s="2">
        <v>1</v>
      </c>
      <c r="I132" s="5">
        <v>11.95</v>
      </c>
      <c r="J132" s="7">
        <v>0.05</v>
      </c>
    </row>
    <row r="133" spans="1:10" x14ac:dyDescent="0.35">
      <c r="A133" s="2" t="s">
        <v>141</v>
      </c>
      <c r="B133" s="3">
        <v>45855</v>
      </c>
      <c r="C133" s="2" t="s">
        <v>510</v>
      </c>
      <c r="D133" s="2" t="s">
        <v>515</v>
      </c>
      <c r="E133" s="2" t="s">
        <v>528</v>
      </c>
      <c r="F133" s="2" t="s">
        <v>543</v>
      </c>
      <c r="G133" s="2">
        <v>146.30000000000001</v>
      </c>
      <c r="H133" s="2">
        <v>1</v>
      </c>
      <c r="I133" s="5">
        <v>34.31</v>
      </c>
      <c r="J133" s="7">
        <v>0.05</v>
      </c>
    </row>
    <row r="134" spans="1:10" x14ac:dyDescent="0.35">
      <c r="A134" s="2" t="s">
        <v>142</v>
      </c>
      <c r="B134" s="3">
        <v>45729</v>
      </c>
      <c r="C134" s="2" t="s">
        <v>511</v>
      </c>
      <c r="D134" s="2" t="s">
        <v>517</v>
      </c>
      <c r="E134" s="2" t="s">
        <v>530</v>
      </c>
      <c r="F134" s="2" t="s">
        <v>573</v>
      </c>
      <c r="G134" s="2">
        <v>948.6</v>
      </c>
      <c r="H134" s="2">
        <v>3</v>
      </c>
      <c r="I134" s="5">
        <v>410.23</v>
      </c>
      <c r="J134" s="7">
        <v>0.15</v>
      </c>
    </row>
    <row r="135" spans="1:10" x14ac:dyDescent="0.35">
      <c r="A135" s="2" t="s">
        <v>143</v>
      </c>
      <c r="B135" s="3">
        <v>45916</v>
      </c>
      <c r="C135" s="2" t="s">
        <v>511</v>
      </c>
      <c r="D135" s="2" t="s">
        <v>515</v>
      </c>
      <c r="E135" s="2" t="s">
        <v>533</v>
      </c>
      <c r="F135" s="2" t="s">
        <v>625</v>
      </c>
      <c r="G135" s="2">
        <v>418</v>
      </c>
      <c r="H135" s="2">
        <v>5</v>
      </c>
      <c r="I135" s="5">
        <v>183.95</v>
      </c>
      <c r="J135" s="7">
        <v>0.05</v>
      </c>
    </row>
    <row r="136" spans="1:10" x14ac:dyDescent="0.35">
      <c r="A136" s="2" t="s">
        <v>144</v>
      </c>
      <c r="B136" s="3">
        <v>45835</v>
      </c>
      <c r="C136" s="2" t="s">
        <v>513</v>
      </c>
      <c r="D136" s="2" t="s">
        <v>516</v>
      </c>
      <c r="E136" s="2" t="s">
        <v>525</v>
      </c>
      <c r="F136" s="2" t="s">
        <v>603</v>
      </c>
      <c r="G136" s="2">
        <v>718.2</v>
      </c>
      <c r="H136" s="2">
        <v>6</v>
      </c>
      <c r="I136" s="5">
        <v>221.38</v>
      </c>
      <c r="J136" s="7">
        <v>0.05</v>
      </c>
    </row>
    <row r="137" spans="1:10" x14ac:dyDescent="0.35">
      <c r="A137" s="2" t="s">
        <v>145</v>
      </c>
      <c r="B137" s="3">
        <v>46014</v>
      </c>
      <c r="C137" s="2" t="s">
        <v>513</v>
      </c>
      <c r="D137" s="2" t="s">
        <v>516</v>
      </c>
      <c r="E137" s="2" t="s">
        <v>521</v>
      </c>
      <c r="F137" s="2" t="s">
        <v>607</v>
      </c>
      <c r="G137" s="2">
        <v>717</v>
      </c>
      <c r="H137" s="2">
        <v>3</v>
      </c>
      <c r="I137" s="5">
        <v>149.4</v>
      </c>
      <c r="J137" s="7">
        <v>0</v>
      </c>
    </row>
    <row r="138" spans="1:10" x14ac:dyDescent="0.35">
      <c r="A138" s="2" t="s">
        <v>146</v>
      </c>
      <c r="B138" s="3">
        <v>45827</v>
      </c>
      <c r="C138" s="2" t="s">
        <v>512</v>
      </c>
      <c r="D138" s="2" t="s">
        <v>516</v>
      </c>
      <c r="E138" s="2" t="s">
        <v>521</v>
      </c>
      <c r="F138" s="2" t="s">
        <v>600</v>
      </c>
      <c r="G138" s="2">
        <v>2142</v>
      </c>
      <c r="H138" s="2">
        <v>3</v>
      </c>
      <c r="I138" s="5">
        <v>471.04</v>
      </c>
      <c r="J138" s="7">
        <v>0</v>
      </c>
    </row>
    <row r="139" spans="1:10" x14ac:dyDescent="0.35">
      <c r="A139" s="2" t="s">
        <v>147</v>
      </c>
      <c r="B139" s="3">
        <v>45747</v>
      </c>
      <c r="C139" s="2" t="s">
        <v>513</v>
      </c>
      <c r="D139" s="2" t="s">
        <v>516</v>
      </c>
      <c r="E139" s="2" t="s">
        <v>525</v>
      </c>
      <c r="F139" s="2" t="s">
        <v>579</v>
      </c>
      <c r="G139" s="2">
        <v>823.5</v>
      </c>
      <c r="H139" s="2">
        <v>3</v>
      </c>
      <c r="I139" s="5">
        <v>209.73</v>
      </c>
      <c r="J139" s="7">
        <v>0.1</v>
      </c>
    </row>
    <row r="140" spans="1:10" x14ac:dyDescent="0.35">
      <c r="A140" s="2" t="s">
        <v>148</v>
      </c>
      <c r="B140" s="3">
        <v>46006</v>
      </c>
      <c r="C140" s="2" t="s">
        <v>510</v>
      </c>
      <c r="D140" s="2" t="s">
        <v>518</v>
      </c>
      <c r="E140" s="2" t="s">
        <v>524</v>
      </c>
      <c r="F140" s="2" t="s">
        <v>564</v>
      </c>
      <c r="G140" s="2">
        <v>176</v>
      </c>
      <c r="H140" s="2">
        <v>5</v>
      </c>
      <c r="I140" s="5">
        <v>56.36</v>
      </c>
      <c r="J140" s="7">
        <v>0.2</v>
      </c>
    </row>
    <row r="141" spans="1:10" x14ac:dyDescent="0.35">
      <c r="A141" s="2" t="s">
        <v>149</v>
      </c>
      <c r="B141" s="3">
        <v>45749</v>
      </c>
      <c r="C141" s="2" t="s">
        <v>512</v>
      </c>
      <c r="D141" s="2" t="s">
        <v>518</v>
      </c>
      <c r="E141" s="2" t="s">
        <v>524</v>
      </c>
      <c r="F141" s="2" t="s">
        <v>626</v>
      </c>
      <c r="G141" s="2">
        <v>18</v>
      </c>
      <c r="H141" s="2">
        <v>2</v>
      </c>
      <c r="I141" s="5">
        <v>3.88</v>
      </c>
      <c r="J141" s="7">
        <v>0.1</v>
      </c>
    </row>
    <row r="142" spans="1:10" x14ac:dyDescent="0.35">
      <c r="A142" s="2" t="s">
        <v>150</v>
      </c>
      <c r="B142" s="3">
        <v>45848</v>
      </c>
      <c r="C142" s="2" t="s">
        <v>510</v>
      </c>
      <c r="D142" s="2" t="s">
        <v>515</v>
      </c>
      <c r="E142" s="2" t="s">
        <v>520</v>
      </c>
      <c r="F142" s="2" t="s">
        <v>623</v>
      </c>
      <c r="G142" s="2">
        <v>47.2</v>
      </c>
      <c r="H142" s="2">
        <v>1</v>
      </c>
      <c r="I142" s="5">
        <v>12.57</v>
      </c>
      <c r="J142" s="7">
        <v>0.2</v>
      </c>
    </row>
    <row r="143" spans="1:10" x14ac:dyDescent="0.35">
      <c r="A143" s="2" t="s">
        <v>151</v>
      </c>
      <c r="B143" s="3">
        <v>45815</v>
      </c>
      <c r="C143" s="2" t="s">
        <v>510</v>
      </c>
      <c r="D143" s="2" t="s">
        <v>516</v>
      </c>
      <c r="E143" s="2" t="s">
        <v>523</v>
      </c>
      <c r="F143" s="2" t="s">
        <v>556</v>
      </c>
      <c r="G143" s="2">
        <v>3990</v>
      </c>
      <c r="H143" s="2">
        <v>5</v>
      </c>
      <c r="I143" s="5">
        <v>912.17</v>
      </c>
      <c r="J143" s="7">
        <v>0.05</v>
      </c>
    </row>
    <row r="144" spans="1:10" x14ac:dyDescent="0.35">
      <c r="A144" s="2" t="s">
        <v>152</v>
      </c>
      <c r="B144" s="3">
        <v>45770</v>
      </c>
      <c r="C144" s="2" t="s">
        <v>512</v>
      </c>
      <c r="D144" s="2" t="s">
        <v>518</v>
      </c>
      <c r="E144" s="2" t="s">
        <v>532</v>
      </c>
      <c r="F144" s="2" t="s">
        <v>620</v>
      </c>
      <c r="G144" s="2">
        <v>336</v>
      </c>
      <c r="H144" s="2">
        <v>6</v>
      </c>
      <c r="I144" s="5">
        <v>95.23</v>
      </c>
      <c r="J144" s="7">
        <v>0.2</v>
      </c>
    </row>
    <row r="145" spans="1:10" x14ac:dyDescent="0.35">
      <c r="A145" s="2" t="s">
        <v>153</v>
      </c>
      <c r="B145" s="3">
        <v>45731</v>
      </c>
      <c r="C145" s="2" t="s">
        <v>512</v>
      </c>
      <c r="D145" s="2" t="s">
        <v>518</v>
      </c>
      <c r="E145" s="2" t="s">
        <v>527</v>
      </c>
      <c r="F145" s="2" t="s">
        <v>543</v>
      </c>
      <c r="G145" s="2">
        <v>70.2</v>
      </c>
      <c r="H145" s="2">
        <v>2</v>
      </c>
      <c r="I145" s="5">
        <v>17.170000000000002</v>
      </c>
      <c r="J145" s="7">
        <v>0.1</v>
      </c>
    </row>
    <row r="146" spans="1:10" x14ac:dyDescent="0.35">
      <c r="A146" s="2" t="s">
        <v>154</v>
      </c>
      <c r="B146" s="3">
        <v>45899</v>
      </c>
      <c r="C146" s="2" t="s">
        <v>511</v>
      </c>
      <c r="D146" s="2" t="s">
        <v>518</v>
      </c>
      <c r="E146" s="2" t="s">
        <v>524</v>
      </c>
      <c r="F146" s="2" t="s">
        <v>620</v>
      </c>
      <c r="G146" s="2">
        <v>428.4</v>
      </c>
      <c r="H146" s="2">
        <v>7</v>
      </c>
      <c r="I146" s="5">
        <v>113.21</v>
      </c>
      <c r="J146" s="7">
        <v>0.15</v>
      </c>
    </row>
    <row r="147" spans="1:10" x14ac:dyDescent="0.35">
      <c r="A147" s="2" t="s">
        <v>155</v>
      </c>
      <c r="B147" s="3">
        <v>45832</v>
      </c>
      <c r="C147" s="2" t="s">
        <v>512</v>
      </c>
      <c r="D147" s="2" t="s">
        <v>518</v>
      </c>
      <c r="E147" s="2" t="s">
        <v>532</v>
      </c>
      <c r="F147" s="2" t="s">
        <v>568</v>
      </c>
      <c r="G147" s="2">
        <v>81.7</v>
      </c>
      <c r="H147" s="2">
        <v>1</v>
      </c>
      <c r="I147" s="5">
        <v>14.92</v>
      </c>
      <c r="J147" s="7">
        <v>0.05</v>
      </c>
    </row>
    <row r="148" spans="1:10" x14ac:dyDescent="0.35">
      <c r="A148" s="2" t="s">
        <v>156</v>
      </c>
      <c r="B148" s="3">
        <v>45683</v>
      </c>
      <c r="C148" s="2" t="s">
        <v>513</v>
      </c>
      <c r="D148" s="2" t="s">
        <v>518</v>
      </c>
      <c r="E148" s="2" t="s">
        <v>527</v>
      </c>
      <c r="F148" s="2" t="s">
        <v>627</v>
      </c>
      <c r="G148" s="2">
        <v>373.5</v>
      </c>
      <c r="H148" s="2">
        <v>5</v>
      </c>
      <c r="I148" s="5">
        <v>142.61000000000001</v>
      </c>
      <c r="J148" s="7">
        <v>0.1</v>
      </c>
    </row>
    <row r="149" spans="1:10" x14ac:dyDescent="0.35">
      <c r="A149" s="2" t="s">
        <v>157</v>
      </c>
      <c r="B149" s="3">
        <v>45945</v>
      </c>
      <c r="C149" s="2" t="s">
        <v>513</v>
      </c>
      <c r="D149" s="2" t="s">
        <v>518</v>
      </c>
      <c r="E149" s="2" t="s">
        <v>531</v>
      </c>
      <c r="F149" s="2" t="s">
        <v>576</v>
      </c>
      <c r="G149" s="2">
        <v>79.2</v>
      </c>
      <c r="H149" s="2">
        <v>3</v>
      </c>
      <c r="I149" s="5">
        <v>29.26</v>
      </c>
      <c r="J149" s="7">
        <v>0.2</v>
      </c>
    </row>
    <row r="150" spans="1:10" x14ac:dyDescent="0.35">
      <c r="A150" s="2" t="s">
        <v>158</v>
      </c>
      <c r="B150" s="3">
        <v>45960</v>
      </c>
      <c r="C150" s="2" t="s">
        <v>511</v>
      </c>
      <c r="D150" s="2" t="s">
        <v>517</v>
      </c>
      <c r="E150" s="2" t="s">
        <v>534</v>
      </c>
      <c r="F150" s="2" t="s">
        <v>598</v>
      </c>
      <c r="G150" s="2">
        <v>958.8</v>
      </c>
      <c r="H150" s="2">
        <v>3</v>
      </c>
      <c r="I150" s="5">
        <v>242.15</v>
      </c>
      <c r="J150" s="7">
        <v>0.15</v>
      </c>
    </row>
    <row r="151" spans="1:10" x14ac:dyDescent="0.35">
      <c r="A151" s="2" t="s">
        <v>159</v>
      </c>
      <c r="B151" s="3">
        <v>45672</v>
      </c>
      <c r="C151" s="2" t="s">
        <v>513</v>
      </c>
      <c r="D151" s="2" t="s">
        <v>515</v>
      </c>
      <c r="E151" s="2" t="s">
        <v>520</v>
      </c>
      <c r="F151" s="2" t="s">
        <v>628</v>
      </c>
      <c r="G151" s="2">
        <v>826.5</v>
      </c>
      <c r="H151" s="2">
        <v>6</v>
      </c>
      <c r="I151" s="5">
        <v>172.4</v>
      </c>
      <c r="J151" s="7">
        <v>0.05</v>
      </c>
    </row>
    <row r="152" spans="1:10" x14ac:dyDescent="0.35">
      <c r="A152" s="2" t="s">
        <v>160</v>
      </c>
      <c r="B152" s="3">
        <v>45802</v>
      </c>
      <c r="C152" s="2" t="s">
        <v>512</v>
      </c>
      <c r="D152" s="2" t="s">
        <v>516</v>
      </c>
      <c r="E152" s="2" t="s">
        <v>525</v>
      </c>
      <c r="F152" s="2" t="s">
        <v>553</v>
      </c>
      <c r="G152" s="2">
        <v>2941</v>
      </c>
      <c r="H152" s="2">
        <v>4</v>
      </c>
      <c r="I152" s="5">
        <v>1176.1300000000001</v>
      </c>
      <c r="J152" s="7">
        <v>0.15</v>
      </c>
    </row>
    <row r="153" spans="1:10" x14ac:dyDescent="0.35">
      <c r="A153" s="2" t="s">
        <v>161</v>
      </c>
      <c r="B153" s="3">
        <v>45973</v>
      </c>
      <c r="C153" s="2" t="s">
        <v>513</v>
      </c>
      <c r="D153" s="2" t="s">
        <v>518</v>
      </c>
      <c r="E153" s="2" t="s">
        <v>527</v>
      </c>
      <c r="F153" s="2" t="s">
        <v>629</v>
      </c>
      <c r="G153" s="2">
        <v>247.35</v>
      </c>
      <c r="H153" s="2">
        <v>3</v>
      </c>
      <c r="I153" s="5">
        <v>109.14</v>
      </c>
      <c r="J153" s="7">
        <v>0.15</v>
      </c>
    </row>
    <row r="154" spans="1:10" x14ac:dyDescent="0.35">
      <c r="A154" s="2" t="s">
        <v>162</v>
      </c>
      <c r="B154" s="3">
        <v>45976</v>
      </c>
      <c r="C154" s="2" t="s">
        <v>513</v>
      </c>
      <c r="D154" s="2" t="s">
        <v>518</v>
      </c>
      <c r="E154" s="2" t="s">
        <v>532</v>
      </c>
      <c r="F154" s="2" t="s">
        <v>571</v>
      </c>
      <c r="G154" s="2">
        <v>523.6</v>
      </c>
      <c r="H154" s="2">
        <v>7</v>
      </c>
      <c r="I154" s="5">
        <v>156.68</v>
      </c>
      <c r="J154" s="7">
        <v>0.15</v>
      </c>
    </row>
    <row r="155" spans="1:10" x14ac:dyDescent="0.35">
      <c r="A155" s="2" t="s">
        <v>163</v>
      </c>
      <c r="B155" s="3">
        <v>45995</v>
      </c>
      <c r="C155" s="2" t="s">
        <v>513</v>
      </c>
      <c r="D155" s="2" t="s">
        <v>517</v>
      </c>
      <c r="E155" s="2" t="s">
        <v>530</v>
      </c>
      <c r="F155" s="2" t="s">
        <v>590</v>
      </c>
      <c r="G155" s="2">
        <v>695.4</v>
      </c>
      <c r="H155" s="2">
        <v>3</v>
      </c>
      <c r="I155" s="5">
        <v>185.17</v>
      </c>
      <c r="J155" s="7">
        <v>0.05</v>
      </c>
    </row>
    <row r="156" spans="1:10" x14ac:dyDescent="0.35">
      <c r="A156" s="2" t="s">
        <v>164</v>
      </c>
      <c r="B156" s="3">
        <v>45745</v>
      </c>
      <c r="C156" s="2" t="s">
        <v>512</v>
      </c>
      <c r="D156" s="2" t="s">
        <v>517</v>
      </c>
      <c r="E156" s="2" t="s">
        <v>530</v>
      </c>
      <c r="F156" s="2" t="s">
        <v>561</v>
      </c>
      <c r="G156" s="2">
        <v>691.2</v>
      </c>
      <c r="H156" s="2">
        <v>3</v>
      </c>
      <c r="I156" s="5">
        <v>221.37</v>
      </c>
      <c r="J156" s="7">
        <v>0.1</v>
      </c>
    </row>
    <row r="157" spans="1:10" x14ac:dyDescent="0.35">
      <c r="A157" s="2" t="s">
        <v>165</v>
      </c>
      <c r="B157" s="3">
        <v>45859</v>
      </c>
      <c r="C157" s="2" t="s">
        <v>511</v>
      </c>
      <c r="D157" s="2" t="s">
        <v>518</v>
      </c>
      <c r="E157" s="2" t="s">
        <v>531</v>
      </c>
      <c r="F157" s="2" t="s">
        <v>630</v>
      </c>
      <c r="G157" s="2">
        <v>459</v>
      </c>
      <c r="H157" s="2">
        <v>6</v>
      </c>
      <c r="I157" s="5">
        <v>119.49</v>
      </c>
      <c r="J157" s="7">
        <v>0.15</v>
      </c>
    </row>
    <row r="158" spans="1:10" x14ac:dyDescent="0.35">
      <c r="A158" s="2" t="s">
        <v>166</v>
      </c>
      <c r="B158" s="3">
        <v>45760</v>
      </c>
      <c r="C158" s="2" t="s">
        <v>513</v>
      </c>
      <c r="D158" s="2" t="s">
        <v>517</v>
      </c>
      <c r="E158" s="2" t="s">
        <v>529</v>
      </c>
      <c r="F158" s="2" t="s">
        <v>550</v>
      </c>
      <c r="G158" s="2">
        <v>385.05</v>
      </c>
      <c r="H158" s="2">
        <v>1</v>
      </c>
      <c r="I158" s="5">
        <v>136.07</v>
      </c>
      <c r="J158" s="7">
        <v>0.15</v>
      </c>
    </row>
    <row r="159" spans="1:10" x14ac:dyDescent="0.35">
      <c r="A159" s="2" t="s">
        <v>167</v>
      </c>
      <c r="B159" s="3">
        <v>45974</v>
      </c>
      <c r="C159" s="2" t="s">
        <v>510</v>
      </c>
      <c r="D159" s="2" t="s">
        <v>517</v>
      </c>
      <c r="E159" s="2" t="s">
        <v>522</v>
      </c>
      <c r="F159" s="2" t="s">
        <v>631</v>
      </c>
      <c r="G159" s="2">
        <v>290</v>
      </c>
      <c r="H159" s="2">
        <v>2</v>
      </c>
      <c r="I159" s="5">
        <v>55.99</v>
      </c>
      <c r="J159" s="7">
        <v>0</v>
      </c>
    </row>
    <row r="160" spans="1:10" x14ac:dyDescent="0.35">
      <c r="A160" s="2" t="s">
        <v>168</v>
      </c>
      <c r="B160" s="3">
        <v>45985</v>
      </c>
      <c r="C160" s="2" t="s">
        <v>513</v>
      </c>
      <c r="D160" s="2" t="s">
        <v>517</v>
      </c>
      <c r="E160" s="2" t="s">
        <v>529</v>
      </c>
      <c r="F160" s="2" t="s">
        <v>549</v>
      </c>
      <c r="G160" s="2">
        <v>2268.6</v>
      </c>
      <c r="H160" s="2">
        <v>6</v>
      </c>
      <c r="I160" s="5">
        <v>448.04</v>
      </c>
      <c r="J160" s="7">
        <v>0.05</v>
      </c>
    </row>
    <row r="161" spans="1:10" x14ac:dyDescent="0.35">
      <c r="A161" s="2" t="s">
        <v>169</v>
      </c>
      <c r="B161" s="3">
        <v>45971</v>
      </c>
      <c r="C161" s="2" t="s">
        <v>513</v>
      </c>
      <c r="D161" s="2" t="s">
        <v>517</v>
      </c>
      <c r="E161" s="2" t="s">
        <v>530</v>
      </c>
      <c r="F161" s="2" t="s">
        <v>565</v>
      </c>
      <c r="G161" s="2">
        <v>1566</v>
      </c>
      <c r="H161" s="2">
        <v>6</v>
      </c>
      <c r="I161" s="5">
        <v>326.35000000000002</v>
      </c>
      <c r="J161" s="7">
        <v>0.1</v>
      </c>
    </row>
    <row r="162" spans="1:10" x14ac:dyDescent="0.35">
      <c r="A162" s="2" t="s">
        <v>170</v>
      </c>
      <c r="B162" s="3">
        <v>45744</v>
      </c>
      <c r="C162" s="2" t="s">
        <v>511</v>
      </c>
      <c r="D162" s="2" t="s">
        <v>515</v>
      </c>
      <c r="E162" s="2" t="s">
        <v>526</v>
      </c>
      <c r="F162" s="2" t="s">
        <v>588</v>
      </c>
      <c r="G162" s="2">
        <v>26.6</v>
      </c>
      <c r="H162" s="2">
        <v>1</v>
      </c>
      <c r="I162" s="5">
        <v>11.54</v>
      </c>
      <c r="J162" s="7">
        <v>0.05</v>
      </c>
    </row>
    <row r="163" spans="1:10" x14ac:dyDescent="0.35">
      <c r="A163" s="2" t="s">
        <v>171</v>
      </c>
      <c r="B163" s="3">
        <v>45840</v>
      </c>
      <c r="C163" s="2" t="s">
        <v>511</v>
      </c>
      <c r="D163" s="2" t="s">
        <v>516</v>
      </c>
      <c r="E163" s="2" t="s">
        <v>525</v>
      </c>
      <c r="F163" s="2" t="s">
        <v>618</v>
      </c>
      <c r="G163" s="2">
        <v>482.4</v>
      </c>
      <c r="H163" s="2">
        <v>3</v>
      </c>
      <c r="I163" s="5">
        <v>114.22</v>
      </c>
      <c r="J163" s="7">
        <v>0.2</v>
      </c>
    </row>
    <row r="164" spans="1:10" x14ac:dyDescent="0.35">
      <c r="A164" s="2" t="s">
        <v>172</v>
      </c>
      <c r="B164" s="3">
        <v>45859</v>
      </c>
      <c r="C164" s="2" t="s">
        <v>510</v>
      </c>
      <c r="D164" s="2" t="s">
        <v>518</v>
      </c>
      <c r="E164" s="2" t="s">
        <v>532</v>
      </c>
      <c r="F164" s="2" t="s">
        <v>545</v>
      </c>
      <c r="G164" s="2">
        <v>360</v>
      </c>
      <c r="H164" s="2">
        <v>6</v>
      </c>
      <c r="I164" s="5">
        <v>114.05</v>
      </c>
      <c r="J164" s="7">
        <v>0</v>
      </c>
    </row>
    <row r="165" spans="1:10" x14ac:dyDescent="0.35">
      <c r="A165" s="2" t="s">
        <v>173</v>
      </c>
      <c r="B165" s="3">
        <v>45816</v>
      </c>
      <c r="C165" s="2" t="s">
        <v>513</v>
      </c>
      <c r="D165" s="2" t="s">
        <v>516</v>
      </c>
      <c r="E165" s="2" t="s">
        <v>525</v>
      </c>
      <c r="F165" s="2" t="s">
        <v>554</v>
      </c>
      <c r="G165" s="2">
        <v>1716</v>
      </c>
      <c r="H165" s="2">
        <v>6</v>
      </c>
      <c r="I165" s="5">
        <v>369.91</v>
      </c>
      <c r="J165" s="7">
        <v>0</v>
      </c>
    </row>
    <row r="166" spans="1:10" x14ac:dyDescent="0.35">
      <c r="A166" s="2" t="s">
        <v>174</v>
      </c>
      <c r="B166" s="3">
        <v>45834</v>
      </c>
      <c r="C166" s="2" t="s">
        <v>510</v>
      </c>
      <c r="D166" s="2" t="s">
        <v>518</v>
      </c>
      <c r="E166" s="2" t="s">
        <v>531</v>
      </c>
      <c r="F166" s="2" t="s">
        <v>551</v>
      </c>
      <c r="G166" s="2">
        <v>81.599999999999994</v>
      </c>
      <c r="H166" s="2">
        <v>4</v>
      </c>
      <c r="I166" s="5">
        <v>35.840000000000003</v>
      </c>
      <c r="J166" s="7">
        <v>0.15</v>
      </c>
    </row>
    <row r="167" spans="1:10" x14ac:dyDescent="0.35">
      <c r="A167" s="2" t="s">
        <v>175</v>
      </c>
      <c r="B167" s="3">
        <v>45952</v>
      </c>
      <c r="C167" s="2" t="s">
        <v>513</v>
      </c>
      <c r="D167" s="2" t="s">
        <v>516</v>
      </c>
      <c r="E167" s="2" t="s">
        <v>521</v>
      </c>
      <c r="F167" s="2" t="s">
        <v>594</v>
      </c>
      <c r="G167" s="2">
        <v>372.4</v>
      </c>
      <c r="H167" s="2">
        <v>2</v>
      </c>
      <c r="I167" s="5">
        <v>87.85</v>
      </c>
      <c r="J167" s="7">
        <v>0.05</v>
      </c>
    </row>
    <row r="168" spans="1:10" x14ac:dyDescent="0.35">
      <c r="A168" s="2" t="s">
        <v>176</v>
      </c>
      <c r="B168" s="3">
        <v>46012</v>
      </c>
      <c r="C168" s="2" t="s">
        <v>513</v>
      </c>
      <c r="D168" s="2" t="s">
        <v>517</v>
      </c>
      <c r="E168" s="2" t="s">
        <v>522</v>
      </c>
      <c r="F168" s="2" t="s">
        <v>567</v>
      </c>
      <c r="G168" s="2">
        <v>680</v>
      </c>
      <c r="H168" s="2">
        <v>5</v>
      </c>
      <c r="I168" s="5">
        <v>171.4</v>
      </c>
      <c r="J168" s="7">
        <v>0.2</v>
      </c>
    </row>
    <row r="169" spans="1:10" x14ac:dyDescent="0.35">
      <c r="A169" s="2" t="s">
        <v>177</v>
      </c>
      <c r="B169" s="3">
        <v>45982</v>
      </c>
      <c r="C169" s="2" t="s">
        <v>513</v>
      </c>
      <c r="D169" s="2" t="s">
        <v>518</v>
      </c>
      <c r="E169" s="2" t="s">
        <v>524</v>
      </c>
      <c r="F169" s="2" t="s">
        <v>544</v>
      </c>
      <c r="G169" s="2">
        <v>467.4</v>
      </c>
      <c r="H169" s="2">
        <v>6</v>
      </c>
      <c r="I169" s="5">
        <v>187.49</v>
      </c>
      <c r="J169" s="7">
        <v>0.05</v>
      </c>
    </row>
    <row r="170" spans="1:10" x14ac:dyDescent="0.35">
      <c r="A170" s="2" t="s">
        <v>178</v>
      </c>
      <c r="B170" s="3">
        <v>45983</v>
      </c>
      <c r="C170" s="2" t="s">
        <v>512</v>
      </c>
      <c r="D170" s="2" t="s">
        <v>517</v>
      </c>
      <c r="E170" s="2" t="s">
        <v>522</v>
      </c>
      <c r="F170" s="2" t="s">
        <v>631</v>
      </c>
      <c r="G170" s="2">
        <v>510</v>
      </c>
      <c r="H170" s="2">
        <v>4</v>
      </c>
      <c r="I170" s="5">
        <v>147.85</v>
      </c>
      <c r="J170" s="7">
        <v>0.15</v>
      </c>
    </row>
    <row r="171" spans="1:10" x14ac:dyDescent="0.35">
      <c r="A171" s="2" t="s">
        <v>179</v>
      </c>
      <c r="B171" s="3">
        <v>45958</v>
      </c>
      <c r="C171" s="2" t="s">
        <v>510</v>
      </c>
      <c r="D171" s="2" t="s">
        <v>516</v>
      </c>
      <c r="E171" s="2" t="s">
        <v>525</v>
      </c>
      <c r="F171" s="2" t="s">
        <v>622</v>
      </c>
      <c r="G171" s="2">
        <v>493</v>
      </c>
      <c r="H171" s="2">
        <v>4</v>
      </c>
      <c r="I171" s="5">
        <v>204.43</v>
      </c>
      <c r="J171" s="7">
        <v>0.15</v>
      </c>
    </row>
    <row r="172" spans="1:10" x14ac:dyDescent="0.35">
      <c r="A172" s="2" t="s">
        <v>180</v>
      </c>
      <c r="B172" s="3">
        <v>45989</v>
      </c>
      <c r="C172" s="2" t="s">
        <v>513</v>
      </c>
      <c r="D172" s="2" t="s">
        <v>515</v>
      </c>
      <c r="E172" s="2" t="s">
        <v>526</v>
      </c>
      <c r="F172" s="2" t="s">
        <v>585</v>
      </c>
      <c r="G172" s="2">
        <v>53.2</v>
      </c>
      <c r="H172" s="2">
        <v>2</v>
      </c>
      <c r="I172" s="5">
        <v>17.489999999999998</v>
      </c>
      <c r="J172" s="7">
        <v>0.05</v>
      </c>
    </row>
    <row r="173" spans="1:10" x14ac:dyDescent="0.35">
      <c r="A173" s="2" t="s">
        <v>181</v>
      </c>
      <c r="B173" s="3">
        <v>45764</v>
      </c>
      <c r="C173" s="2" t="s">
        <v>512</v>
      </c>
      <c r="D173" s="2" t="s">
        <v>516</v>
      </c>
      <c r="E173" s="2" t="s">
        <v>525</v>
      </c>
      <c r="F173" s="2" t="s">
        <v>611</v>
      </c>
      <c r="G173" s="2">
        <v>2907</v>
      </c>
      <c r="H173" s="2">
        <v>4</v>
      </c>
      <c r="I173" s="5">
        <v>1010.4</v>
      </c>
      <c r="J173" s="7">
        <v>0.15</v>
      </c>
    </row>
    <row r="174" spans="1:10" x14ac:dyDescent="0.35">
      <c r="A174" s="2" t="s">
        <v>182</v>
      </c>
      <c r="B174" s="3">
        <v>45787</v>
      </c>
      <c r="C174" s="2" t="s">
        <v>512</v>
      </c>
      <c r="D174" s="2" t="s">
        <v>516</v>
      </c>
      <c r="E174" s="2" t="s">
        <v>521</v>
      </c>
      <c r="F174" s="2" t="s">
        <v>579</v>
      </c>
      <c r="G174" s="2">
        <v>799</v>
      </c>
      <c r="H174" s="2">
        <v>4</v>
      </c>
      <c r="I174" s="5">
        <v>301.36</v>
      </c>
      <c r="J174" s="7">
        <v>0.15</v>
      </c>
    </row>
    <row r="175" spans="1:10" x14ac:dyDescent="0.35">
      <c r="A175" s="2" t="s">
        <v>183</v>
      </c>
      <c r="B175" s="3">
        <v>45982</v>
      </c>
      <c r="C175" s="2" t="s">
        <v>512</v>
      </c>
      <c r="D175" s="2" t="s">
        <v>518</v>
      </c>
      <c r="E175" s="2" t="s">
        <v>532</v>
      </c>
      <c r="F175" s="2" t="s">
        <v>587</v>
      </c>
      <c r="G175" s="2">
        <v>296</v>
      </c>
      <c r="H175" s="2">
        <v>5</v>
      </c>
      <c r="I175" s="5">
        <v>58.56</v>
      </c>
      <c r="J175" s="7">
        <v>0.2</v>
      </c>
    </row>
    <row r="176" spans="1:10" x14ac:dyDescent="0.35">
      <c r="A176" s="2" t="s">
        <v>184</v>
      </c>
      <c r="B176" s="3">
        <v>45696</v>
      </c>
      <c r="C176" s="2" t="s">
        <v>510</v>
      </c>
      <c r="D176" s="2" t="s">
        <v>517</v>
      </c>
      <c r="E176" s="2" t="s">
        <v>530</v>
      </c>
      <c r="F176" s="2" t="s">
        <v>632</v>
      </c>
      <c r="G176" s="2">
        <v>1211.25</v>
      </c>
      <c r="H176" s="2">
        <v>5</v>
      </c>
      <c r="I176" s="5">
        <v>226.82</v>
      </c>
      <c r="J176" s="7">
        <v>0.05</v>
      </c>
    </row>
    <row r="177" spans="1:10" x14ac:dyDescent="0.35">
      <c r="A177" s="2" t="s">
        <v>185</v>
      </c>
      <c r="B177" s="3">
        <v>45665</v>
      </c>
      <c r="C177" s="2" t="s">
        <v>513</v>
      </c>
      <c r="D177" s="2" t="s">
        <v>518</v>
      </c>
      <c r="E177" s="2" t="s">
        <v>527</v>
      </c>
      <c r="F177" s="2" t="s">
        <v>616</v>
      </c>
      <c r="G177" s="2">
        <v>307.8</v>
      </c>
      <c r="H177" s="2">
        <v>6</v>
      </c>
      <c r="I177" s="5">
        <v>77.599999999999994</v>
      </c>
      <c r="J177" s="7">
        <v>0.05</v>
      </c>
    </row>
    <row r="178" spans="1:10" x14ac:dyDescent="0.35">
      <c r="A178" s="2" t="s">
        <v>186</v>
      </c>
      <c r="B178" s="3">
        <v>45776</v>
      </c>
      <c r="C178" s="2" t="s">
        <v>513</v>
      </c>
      <c r="D178" s="2" t="s">
        <v>516</v>
      </c>
      <c r="E178" s="2" t="s">
        <v>523</v>
      </c>
      <c r="F178" s="2" t="s">
        <v>609</v>
      </c>
      <c r="G178" s="2">
        <v>2047.25</v>
      </c>
      <c r="H178" s="2">
        <v>5</v>
      </c>
      <c r="I178" s="5">
        <v>555.54</v>
      </c>
      <c r="J178" s="7">
        <v>0.05</v>
      </c>
    </row>
    <row r="179" spans="1:10" x14ac:dyDescent="0.35">
      <c r="A179" s="2" t="s">
        <v>187</v>
      </c>
      <c r="B179" s="3">
        <v>45959</v>
      </c>
      <c r="C179" s="2" t="s">
        <v>511</v>
      </c>
      <c r="D179" s="2" t="s">
        <v>517</v>
      </c>
      <c r="E179" s="2" t="s">
        <v>529</v>
      </c>
      <c r="F179" s="2" t="s">
        <v>575</v>
      </c>
      <c r="G179" s="2">
        <v>615.6</v>
      </c>
      <c r="H179" s="2">
        <v>2</v>
      </c>
      <c r="I179" s="5">
        <v>122.29</v>
      </c>
      <c r="J179" s="7">
        <v>0.1</v>
      </c>
    </row>
    <row r="180" spans="1:10" x14ac:dyDescent="0.35">
      <c r="A180" s="2" t="s">
        <v>188</v>
      </c>
      <c r="B180" s="3">
        <v>45877</v>
      </c>
      <c r="C180" s="2" t="s">
        <v>513</v>
      </c>
      <c r="D180" s="2" t="s">
        <v>516</v>
      </c>
      <c r="E180" s="2" t="s">
        <v>523</v>
      </c>
      <c r="F180" s="2" t="s">
        <v>543</v>
      </c>
      <c r="G180" s="2">
        <v>5131</v>
      </c>
      <c r="H180" s="2">
        <v>7</v>
      </c>
      <c r="I180" s="5">
        <v>2161.2800000000002</v>
      </c>
      <c r="J180" s="7">
        <v>0</v>
      </c>
    </row>
    <row r="181" spans="1:10" x14ac:dyDescent="0.35">
      <c r="A181" s="2" t="s">
        <v>189</v>
      </c>
      <c r="B181" s="3">
        <v>45981</v>
      </c>
      <c r="C181" s="2" t="s">
        <v>513</v>
      </c>
      <c r="D181" s="2" t="s">
        <v>516</v>
      </c>
      <c r="E181" s="2" t="s">
        <v>525</v>
      </c>
      <c r="F181" s="2" t="s">
        <v>568</v>
      </c>
      <c r="G181" s="2">
        <v>134.4</v>
      </c>
      <c r="H181" s="2">
        <v>1</v>
      </c>
      <c r="I181" s="5">
        <v>39.9</v>
      </c>
      <c r="J181" s="7">
        <v>0.2</v>
      </c>
    </row>
    <row r="182" spans="1:10" x14ac:dyDescent="0.35">
      <c r="A182" s="2" t="s">
        <v>190</v>
      </c>
      <c r="B182" s="3">
        <v>46022</v>
      </c>
      <c r="C182" s="2" t="s">
        <v>510</v>
      </c>
      <c r="D182" s="2" t="s">
        <v>517</v>
      </c>
      <c r="E182" s="2" t="s">
        <v>522</v>
      </c>
      <c r="F182" s="2" t="s">
        <v>633</v>
      </c>
      <c r="G182" s="2">
        <v>232</v>
      </c>
      <c r="H182" s="2">
        <v>4</v>
      </c>
      <c r="I182" s="5">
        <v>84.53</v>
      </c>
      <c r="J182" s="7">
        <v>0</v>
      </c>
    </row>
    <row r="183" spans="1:10" x14ac:dyDescent="0.35">
      <c r="A183" s="2" t="s">
        <v>191</v>
      </c>
      <c r="B183" s="3">
        <v>45800</v>
      </c>
      <c r="C183" s="2" t="s">
        <v>512</v>
      </c>
      <c r="D183" s="2" t="s">
        <v>518</v>
      </c>
      <c r="E183" s="2" t="s">
        <v>532</v>
      </c>
      <c r="F183" s="2" t="s">
        <v>563</v>
      </c>
      <c r="G183" s="2">
        <v>351.9</v>
      </c>
      <c r="H183" s="2">
        <v>6</v>
      </c>
      <c r="I183" s="5">
        <v>100.41</v>
      </c>
      <c r="J183" s="7">
        <v>0.15</v>
      </c>
    </row>
    <row r="184" spans="1:10" x14ac:dyDescent="0.35">
      <c r="A184" s="2" t="s">
        <v>192</v>
      </c>
      <c r="B184" s="3">
        <v>45767</v>
      </c>
      <c r="C184" s="2" t="s">
        <v>513</v>
      </c>
      <c r="D184" s="2" t="s">
        <v>518</v>
      </c>
      <c r="E184" s="2" t="s">
        <v>531</v>
      </c>
      <c r="F184" s="2" t="s">
        <v>593</v>
      </c>
      <c r="G184" s="2">
        <v>45.6</v>
      </c>
      <c r="H184" s="2">
        <v>1</v>
      </c>
      <c r="I184" s="5">
        <v>13.29</v>
      </c>
      <c r="J184" s="7">
        <v>0.05</v>
      </c>
    </row>
    <row r="185" spans="1:10" x14ac:dyDescent="0.35">
      <c r="A185" s="2" t="s">
        <v>193</v>
      </c>
      <c r="B185" s="3">
        <v>45774</v>
      </c>
      <c r="C185" s="2" t="s">
        <v>512</v>
      </c>
      <c r="D185" s="2" t="s">
        <v>517</v>
      </c>
      <c r="E185" s="2" t="s">
        <v>522</v>
      </c>
      <c r="F185" s="2" t="s">
        <v>587</v>
      </c>
      <c r="G185" s="2">
        <v>117.8</v>
      </c>
      <c r="H185" s="2">
        <v>1</v>
      </c>
      <c r="I185" s="5">
        <v>37.770000000000003</v>
      </c>
      <c r="J185" s="7">
        <v>0.05</v>
      </c>
    </row>
    <row r="186" spans="1:10" x14ac:dyDescent="0.35">
      <c r="A186" s="2" t="s">
        <v>194</v>
      </c>
      <c r="B186" s="3">
        <v>45678</v>
      </c>
      <c r="C186" s="2" t="s">
        <v>510</v>
      </c>
      <c r="D186" s="2" t="s">
        <v>516</v>
      </c>
      <c r="E186" s="2" t="s">
        <v>535</v>
      </c>
      <c r="F186" s="2" t="s">
        <v>634</v>
      </c>
      <c r="G186" s="2">
        <v>1800.25</v>
      </c>
      <c r="H186" s="2">
        <v>5</v>
      </c>
      <c r="I186" s="5">
        <v>462.34</v>
      </c>
      <c r="J186" s="7">
        <v>0.05</v>
      </c>
    </row>
    <row r="187" spans="1:10" x14ac:dyDescent="0.35">
      <c r="A187" s="2" t="s">
        <v>195</v>
      </c>
      <c r="B187" s="3">
        <v>45928</v>
      </c>
      <c r="C187" s="2" t="s">
        <v>511</v>
      </c>
      <c r="D187" s="2" t="s">
        <v>515</v>
      </c>
      <c r="E187" s="2" t="s">
        <v>520</v>
      </c>
      <c r="F187" s="2" t="s">
        <v>537</v>
      </c>
      <c r="G187" s="2">
        <v>934.15</v>
      </c>
      <c r="H187" s="2">
        <v>7</v>
      </c>
      <c r="I187" s="5">
        <v>186.55</v>
      </c>
      <c r="J187" s="7">
        <v>0.15</v>
      </c>
    </row>
    <row r="188" spans="1:10" x14ac:dyDescent="0.35">
      <c r="A188" s="2" t="s">
        <v>196</v>
      </c>
      <c r="B188" s="3">
        <v>45684</v>
      </c>
      <c r="C188" s="2" t="s">
        <v>512</v>
      </c>
      <c r="D188" s="2" t="s">
        <v>516</v>
      </c>
      <c r="E188" s="2" t="s">
        <v>535</v>
      </c>
      <c r="F188" s="2" t="s">
        <v>545</v>
      </c>
      <c r="G188" s="2">
        <v>2114.4</v>
      </c>
      <c r="H188" s="2">
        <v>3</v>
      </c>
      <c r="I188" s="5">
        <v>788.85</v>
      </c>
      <c r="J188" s="7">
        <v>0.2</v>
      </c>
    </row>
    <row r="189" spans="1:10" x14ac:dyDescent="0.35">
      <c r="A189" s="2" t="s">
        <v>197</v>
      </c>
      <c r="B189" s="3">
        <v>45747</v>
      </c>
      <c r="C189" s="2" t="s">
        <v>512</v>
      </c>
      <c r="D189" s="2" t="s">
        <v>518</v>
      </c>
      <c r="E189" s="2" t="s">
        <v>524</v>
      </c>
      <c r="F189" s="2" t="s">
        <v>574</v>
      </c>
      <c r="G189" s="2">
        <v>12</v>
      </c>
      <c r="H189" s="2">
        <v>2</v>
      </c>
      <c r="I189" s="5">
        <v>2.2400000000000002</v>
      </c>
      <c r="J189" s="7">
        <v>0</v>
      </c>
    </row>
    <row r="190" spans="1:10" x14ac:dyDescent="0.35">
      <c r="A190" s="2" t="s">
        <v>198</v>
      </c>
      <c r="B190" s="3">
        <v>45955</v>
      </c>
      <c r="C190" s="2" t="s">
        <v>511</v>
      </c>
      <c r="D190" s="2" t="s">
        <v>515</v>
      </c>
      <c r="E190" s="2" t="s">
        <v>526</v>
      </c>
      <c r="F190" s="2" t="s">
        <v>605</v>
      </c>
      <c r="G190" s="2">
        <v>371</v>
      </c>
      <c r="H190" s="2">
        <v>7</v>
      </c>
      <c r="I190" s="5">
        <v>110.12</v>
      </c>
      <c r="J190" s="7">
        <v>0</v>
      </c>
    </row>
    <row r="191" spans="1:10" x14ac:dyDescent="0.35">
      <c r="A191" s="2" t="s">
        <v>199</v>
      </c>
      <c r="B191" s="3">
        <v>45798</v>
      </c>
      <c r="C191" s="2" t="s">
        <v>510</v>
      </c>
      <c r="D191" s="2" t="s">
        <v>518</v>
      </c>
      <c r="E191" s="2" t="s">
        <v>524</v>
      </c>
      <c r="F191" s="2" t="s">
        <v>635</v>
      </c>
      <c r="G191" s="2">
        <v>230.4</v>
      </c>
      <c r="H191" s="2">
        <v>6</v>
      </c>
      <c r="I191" s="5">
        <v>64.290000000000006</v>
      </c>
      <c r="J191" s="7">
        <v>0.2</v>
      </c>
    </row>
    <row r="192" spans="1:10" x14ac:dyDescent="0.35">
      <c r="A192" s="2" t="s">
        <v>200</v>
      </c>
      <c r="B192" s="3">
        <v>45778</v>
      </c>
      <c r="C192" s="2" t="s">
        <v>512</v>
      </c>
      <c r="D192" s="2" t="s">
        <v>517</v>
      </c>
      <c r="E192" s="2" t="s">
        <v>529</v>
      </c>
      <c r="F192" s="2" t="s">
        <v>614</v>
      </c>
      <c r="G192" s="2">
        <v>2462.4</v>
      </c>
      <c r="H192" s="2">
        <v>6</v>
      </c>
      <c r="I192" s="5">
        <v>991.88</v>
      </c>
      <c r="J192" s="7">
        <v>0.05</v>
      </c>
    </row>
    <row r="193" spans="1:10" x14ac:dyDescent="0.35">
      <c r="A193" s="2" t="s">
        <v>201</v>
      </c>
      <c r="B193" s="3">
        <v>45757</v>
      </c>
      <c r="C193" s="2" t="s">
        <v>511</v>
      </c>
      <c r="D193" s="2" t="s">
        <v>518</v>
      </c>
      <c r="E193" s="2" t="s">
        <v>524</v>
      </c>
      <c r="F193" s="2" t="s">
        <v>636</v>
      </c>
      <c r="G193" s="2">
        <v>68.400000000000006</v>
      </c>
      <c r="H193" s="2">
        <v>1</v>
      </c>
      <c r="I193" s="5">
        <v>17.260000000000002</v>
      </c>
      <c r="J193" s="7">
        <v>0.05</v>
      </c>
    </row>
    <row r="194" spans="1:10" x14ac:dyDescent="0.35">
      <c r="A194" s="2" t="s">
        <v>202</v>
      </c>
      <c r="B194" s="3">
        <v>45883</v>
      </c>
      <c r="C194" s="2" t="s">
        <v>512</v>
      </c>
      <c r="D194" s="2" t="s">
        <v>517</v>
      </c>
      <c r="E194" s="2" t="s">
        <v>534</v>
      </c>
      <c r="F194" s="2" t="s">
        <v>637</v>
      </c>
      <c r="G194" s="2">
        <v>1124</v>
      </c>
      <c r="H194" s="2">
        <v>4</v>
      </c>
      <c r="I194" s="5">
        <v>282.17</v>
      </c>
      <c r="J194" s="7">
        <v>0</v>
      </c>
    </row>
    <row r="195" spans="1:10" x14ac:dyDescent="0.35">
      <c r="A195" s="2" t="s">
        <v>203</v>
      </c>
      <c r="B195" s="3">
        <v>45668</v>
      </c>
      <c r="C195" s="2" t="s">
        <v>513</v>
      </c>
      <c r="D195" s="2" t="s">
        <v>516</v>
      </c>
      <c r="E195" s="2" t="s">
        <v>525</v>
      </c>
      <c r="F195" s="2" t="s">
        <v>591</v>
      </c>
      <c r="G195" s="2">
        <v>2606.1</v>
      </c>
      <c r="H195" s="2">
        <v>6</v>
      </c>
      <c r="I195" s="5">
        <v>1027.6600000000001</v>
      </c>
      <c r="J195" s="7">
        <v>0.15</v>
      </c>
    </row>
    <row r="196" spans="1:10" x14ac:dyDescent="0.35">
      <c r="A196" s="2" t="s">
        <v>204</v>
      </c>
      <c r="B196" s="3">
        <v>45803</v>
      </c>
      <c r="C196" s="2" t="s">
        <v>510</v>
      </c>
      <c r="D196" s="2" t="s">
        <v>516</v>
      </c>
      <c r="E196" s="2" t="s">
        <v>525</v>
      </c>
      <c r="F196" s="2" t="s">
        <v>638</v>
      </c>
      <c r="G196" s="2">
        <v>299.7</v>
      </c>
      <c r="H196" s="2">
        <v>1</v>
      </c>
      <c r="I196" s="5">
        <v>86.55</v>
      </c>
      <c r="J196" s="7">
        <v>0.1</v>
      </c>
    </row>
    <row r="197" spans="1:10" x14ac:dyDescent="0.35">
      <c r="A197" s="2" t="s">
        <v>205</v>
      </c>
      <c r="B197" s="3">
        <v>45759</v>
      </c>
      <c r="C197" s="2" t="s">
        <v>513</v>
      </c>
      <c r="D197" s="2" t="s">
        <v>517</v>
      </c>
      <c r="E197" s="2" t="s">
        <v>529</v>
      </c>
      <c r="F197" s="2" t="s">
        <v>615</v>
      </c>
      <c r="G197" s="2">
        <v>3137.4</v>
      </c>
      <c r="H197" s="2">
        <v>7</v>
      </c>
      <c r="I197" s="5">
        <v>900.84</v>
      </c>
      <c r="J197" s="7">
        <v>0.1</v>
      </c>
    </row>
    <row r="198" spans="1:10" x14ac:dyDescent="0.35">
      <c r="A198" s="2" t="s">
        <v>206</v>
      </c>
      <c r="B198" s="3">
        <v>46010</v>
      </c>
      <c r="C198" s="2" t="s">
        <v>510</v>
      </c>
      <c r="D198" s="2" t="s">
        <v>515</v>
      </c>
      <c r="E198" s="2" t="s">
        <v>528</v>
      </c>
      <c r="F198" s="2" t="s">
        <v>599</v>
      </c>
      <c r="G198" s="2">
        <v>599.4</v>
      </c>
      <c r="H198" s="2">
        <v>6</v>
      </c>
      <c r="I198" s="5">
        <v>204.8</v>
      </c>
      <c r="J198" s="7">
        <v>0.1</v>
      </c>
    </row>
    <row r="199" spans="1:10" x14ac:dyDescent="0.35">
      <c r="A199" s="2" t="s">
        <v>207</v>
      </c>
      <c r="B199" s="3">
        <v>45684</v>
      </c>
      <c r="C199" s="2" t="s">
        <v>511</v>
      </c>
      <c r="D199" s="2" t="s">
        <v>516</v>
      </c>
      <c r="E199" s="2" t="s">
        <v>523</v>
      </c>
      <c r="F199" s="2" t="s">
        <v>639</v>
      </c>
      <c r="G199" s="2">
        <v>2924</v>
      </c>
      <c r="H199" s="2">
        <v>4</v>
      </c>
      <c r="I199" s="5">
        <v>683.93</v>
      </c>
      <c r="J199" s="7">
        <v>0.15</v>
      </c>
    </row>
    <row r="200" spans="1:10" x14ac:dyDescent="0.35">
      <c r="A200" s="2" t="s">
        <v>208</v>
      </c>
      <c r="B200" s="3">
        <v>45787</v>
      </c>
      <c r="C200" s="2" t="s">
        <v>510</v>
      </c>
      <c r="D200" s="2" t="s">
        <v>518</v>
      </c>
      <c r="E200" s="2" t="s">
        <v>532</v>
      </c>
      <c r="F200" s="2" t="s">
        <v>640</v>
      </c>
      <c r="G200" s="2">
        <v>111.6</v>
      </c>
      <c r="H200" s="2">
        <v>2</v>
      </c>
      <c r="I200" s="5">
        <v>44.49</v>
      </c>
      <c r="J200" s="7">
        <v>0.1</v>
      </c>
    </row>
    <row r="201" spans="1:10" x14ac:dyDescent="0.35">
      <c r="A201" s="2" t="s">
        <v>209</v>
      </c>
      <c r="B201" s="3">
        <v>45990</v>
      </c>
      <c r="C201" s="2" t="s">
        <v>512</v>
      </c>
      <c r="D201" s="2" t="s">
        <v>517</v>
      </c>
      <c r="E201" s="2" t="s">
        <v>529</v>
      </c>
      <c r="F201" s="2" t="s">
        <v>641</v>
      </c>
      <c r="G201" s="2">
        <v>828.75</v>
      </c>
      <c r="H201" s="2">
        <v>3</v>
      </c>
      <c r="I201" s="5">
        <v>353.07</v>
      </c>
      <c r="J201" s="7">
        <v>0.15</v>
      </c>
    </row>
    <row r="202" spans="1:10" x14ac:dyDescent="0.35">
      <c r="A202" s="2" t="s">
        <v>210</v>
      </c>
      <c r="B202" s="3">
        <v>45793</v>
      </c>
      <c r="C202" s="2" t="s">
        <v>511</v>
      </c>
      <c r="D202" s="2" t="s">
        <v>515</v>
      </c>
      <c r="E202" s="2" t="s">
        <v>528</v>
      </c>
      <c r="F202" s="2" t="s">
        <v>602</v>
      </c>
      <c r="G202" s="2">
        <v>1023.4</v>
      </c>
      <c r="H202" s="2">
        <v>7</v>
      </c>
      <c r="I202" s="5">
        <v>364.49</v>
      </c>
      <c r="J202" s="7">
        <v>0.15</v>
      </c>
    </row>
    <row r="203" spans="1:10" x14ac:dyDescent="0.35">
      <c r="A203" s="2" t="s">
        <v>211</v>
      </c>
      <c r="B203" s="3">
        <v>46021</v>
      </c>
      <c r="C203" s="2" t="s">
        <v>512</v>
      </c>
      <c r="D203" s="2" t="s">
        <v>518</v>
      </c>
      <c r="E203" s="2" t="s">
        <v>532</v>
      </c>
      <c r="F203" s="2" t="s">
        <v>642</v>
      </c>
      <c r="G203" s="2">
        <v>38.25</v>
      </c>
      <c r="H203" s="2">
        <v>5</v>
      </c>
      <c r="I203" s="5">
        <v>7.64</v>
      </c>
      <c r="J203" s="7">
        <v>0.15</v>
      </c>
    </row>
    <row r="204" spans="1:10" x14ac:dyDescent="0.35">
      <c r="A204" s="2" t="s">
        <v>212</v>
      </c>
      <c r="B204" s="3">
        <v>45695</v>
      </c>
      <c r="C204" s="2" t="s">
        <v>511</v>
      </c>
      <c r="D204" s="2" t="s">
        <v>517</v>
      </c>
      <c r="E204" s="2" t="s">
        <v>529</v>
      </c>
      <c r="F204" s="2" t="s">
        <v>643</v>
      </c>
      <c r="G204" s="2">
        <v>1584</v>
      </c>
      <c r="H204" s="2">
        <v>4</v>
      </c>
      <c r="I204" s="5">
        <v>359.51</v>
      </c>
      <c r="J204" s="7">
        <v>0.2</v>
      </c>
    </row>
    <row r="205" spans="1:10" x14ac:dyDescent="0.35">
      <c r="A205" s="2" t="s">
        <v>213</v>
      </c>
      <c r="B205" s="3">
        <v>45988</v>
      </c>
      <c r="C205" s="2" t="s">
        <v>510</v>
      </c>
      <c r="D205" s="2" t="s">
        <v>518</v>
      </c>
      <c r="E205" s="2" t="s">
        <v>531</v>
      </c>
      <c r="F205" s="2" t="s">
        <v>624</v>
      </c>
      <c r="G205" s="2">
        <v>591.85</v>
      </c>
      <c r="H205" s="2">
        <v>7</v>
      </c>
      <c r="I205" s="5">
        <v>116.61</v>
      </c>
      <c r="J205" s="7">
        <v>0.05</v>
      </c>
    </row>
    <row r="206" spans="1:10" x14ac:dyDescent="0.35">
      <c r="A206" s="2" t="s">
        <v>214</v>
      </c>
      <c r="B206" s="3">
        <v>45739</v>
      </c>
      <c r="C206" s="2" t="s">
        <v>512</v>
      </c>
      <c r="D206" s="2" t="s">
        <v>517</v>
      </c>
      <c r="E206" s="2" t="s">
        <v>534</v>
      </c>
      <c r="F206" s="2" t="s">
        <v>545</v>
      </c>
      <c r="G206" s="2">
        <v>2286</v>
      </c>
      <c r="H206" s="2">
        <v>6</v>
      </c>
      <c r="I206" s="5">
        <v>956.88</v>
      </c>
      <c r="J206" s="7">
        <v>0</v>
      </c>
    </row>
    <row r="207" spans="1:10" x14ac:dyDescent="0.35">
      <c r="A207" s="2" t="s">
        <v>215</v>
      </c>
      <c r="B207" s="3">
        <v>45820</v>
      </c>
      <c r="C207" s="2" t="s">
        <v>513</v>
      </c>
      <c r="D207" s="2" t="s">
        <v>517</v>
      </c>
      <c r="E207" s="2" t="s">
        <v>530</v>
      </c>
      <c r="F207" s="2" t="s">
        <v>644</v>
      </c>
      <c r="G207" s="2">
        <v>294.10000000000002</v>
      </c>
      <c r="H207" s="2">
        <v>2</v>
      </c>
      <c r="I207" s="5">
        <v>67.33</v>
      </c>
      <c r="J207" s="7">
        <v>0.15</v>
      </c>
    </row>
    <row r="208" spans="1:10" x14ac:dyDescent="0.35">
      <c r="A208" s="2" t="s">
        <v>216</v>
      </c>
      <c r="B208" s="3">
        <v>45967</v>
      </c>
      <c r="C208" s="2" t="s">
        <v>512</v>
      </c>
      <c r="D208" s="2" t="s">
        <v>517</v>
      </c>
      <c r="E208" s="2" t="s">
        <v>534</v>
      </c>
      <c r="F208" s="2" t="s">
        <v>590</v>
      </c>
      <c r="G208" s="2">
        <v>598.5</v>
      </c>
      <c r="H208" s="2">
        <v>2</v>
      </c>
      <c r="I208" s="5">
        <v>247.91</v>
      </c>
      <c r="J208" s="7">
        <v>0.05</v>
      </c>
    </row>
    <row r="209" spans="1:10" x14ac:dyDescent="0.35">
      <c r="A209" s="2" t="s">
        <v>217</v>
      </c>
      <c r="B209" s="3">
        <v>45682</v>
      </c>
      <c r="C209" s="2" t="s">
        <v>512</v>
      </c>
      <c r="D209" s="2" t="s">
        <v>517</v>
      </c>
      <c r="E209" s="2" t="s">
        <v>529</v>
      </c>
      <c r="F209" s="2" t="s">
        <v>571</v>
      </c>
      <c r="G209" s="2">
        <v>1884.6</v>
      </c>
      <c r="H209" s="2">
        <v>6</v>
      </c>
      <c r="I209" s="5">
        <v>363.25</v>
      </c>
      <c r="J209" s="7">
        <v>0.1</v>
      </c>
    </row>
    <row r="210" spans="1:10" x14ac:dyDescent="0.35">
      <c r="A210" s="2" t="s">
        <v>218</v>
      </c>
      <c r="B210" s="3">
        <v>45785</v>
      </c>
      <c r="C210" s="2" t="s">
        <v>511</v>
      </c>
      <c r="D210" s="2" t="s">
        <v>517</v>
      </c>
      <c r="E210" s="2" t="s">
        <v>530</v>
      </c>
      <c r="F210" s="2" t="s">
        <v>549</v>
      </c>
      <c r="G210" s="2">
        <v>501.5</v>
      </c>
      <c r="H210" s="2">
        <v>5</v>
      </c>
      <c r="I210" s="5">
        <v>120.5</v>
      </c>
      <c r="J210" s="7">
        <v>0.15</v>
      </c>
    </row>
    <row r="211" spans="1:10" x14ac:dyDescent="0.35">
      <c r="A211" s="2" t="s">
        <v>219</v>
      </c>
      <c r="B211" s="3">
        <v>45787</v>
      </c>
      <c r="C211" s="2" t="s">
        <v>511</v>
      </c>
      <c r="D211" s="2" t="s">
        <v>516</v>
      </c>
      <c r="E211" s="2" t="s">
        <v>523</v>
      </c>
      <c r="F211" s="2" t="s">
        <v>641</v>
      </c>
      <c r="G211" s="2">
        <v>2932.8</v>
      </c>
      <c r="H211" s="2">
        <v>6</v>
      </c>
      <c r="I211" s="5">
        <v>1305.75</v>
      </c>
      <c r="J211" s="7">
        <v>0.2</v>
      </c>
    </row>
    <row r="212" spans="1:10" x14ac:dyDescent="0.35">
      <c r="A212" s="2" t="s">
        <v>220</v>
      </c>
      <c r="B212" s="3">
        <v>45713</v>
      </c>
      <c r="C212" s="2" t="s">
        <v>510</v>
      </c>
      <c r="D212" s="2" t="s">
        <v>515</v>
      </c>
      <c r="E212" s="2" t="s">
        <v>528</v>
      </c>
      <c r="F212" s="2" t="s">
        <v>645</v>
      </c>
      <c r="G212" s="2">
        <v>410.4</v>
      </c>
      <c r="H212" s="2">
        <v>3</v>
      </c>
      <c r="I212" s="5">
        <v>178.28</v>
      </c>
      <c r="J212" s="7">
        <v>0.05</v>
      </c>
    </row>
    <row r="213" spans="1:10" x14ac:dyDescent="0.35">
      <c r="A213" s="2" t="s">
        <v>221</v>
      </c>
      <c r="B213" s="3">
        <v>45917</v>
      </c>
      <c r="C213" s="2" t="s">
        <v>510</v>
      </c>
      <c r="D213" s="2" t="s">
        <v>516</v>
      </c>
      <c r="E213" s="2"/>
      <c r="F213" s="2" t="s">
        <v>600</v>
      </c>
      <c r="G213" s="2">
        <v>1734</v>
      </c>
      <c r="H213" s="2">
        <v>5</v>
      </c>
      <c r="I213" s="5">
        <v>490.94</v>
      </c>
      <c r="J213" s="7">
        <v>0.15</v>
      </c>
    </row>
    <row r="214" spans="1:10" x14ac:dyDescent="0.35">
      <c r="A214" s="2" t="s">
        <v>222</v>
      </c>
      <c r="B214" s="3">
        <v>45835</v>
      </c>
      <c r="C214" s="2" t="s">
        <v>510</v>
      </c>
      <c r="D214" s="2" t="s">
        <v>516</v>
      </c>
      <c r="E214" s="2" t="s">
        <v>525</v>
      </c>
      <c r="F214" s="2" t="s">
        <v>646</v>
      </c>
      <c r="G214" s="2">
        <v>2731.05</v>
      </c>
      <c r="H214" s="2">
        <v>7</v>
      </c>
      <c r="I214" s="5">
        <v>603.66</v>
      </c>
      <c r="J214" s="7">
        <v>0.15</v>
      </c>
    </row>
    <row r="215" spans="1:10" x14ac:dyDescent="0.35">
      <c r="A215" s="2" t="s">
        <v>223</v>
      </c>
      <c r="B215" s="3">
        <v>45790</v>
      </c>
      <c r="C215" s="2" t="s">
        <v>513</v>
      </c>
      <c r="D215" s="2" t="s">
        <v>515</v>
      </c>
      <c r="E215" s="2" t="s">
        <v>533</v>
      </c>
      <c r="F215" s="2" t="s">
        <v>539</v>
      </c>
      <c r="G215" s="2">
        <v>676</v>
      </c>
      <c r="H215" s="2">
        <v>5</v>
      </c>
      <c r="I215" s="5">
        <v>233.55</v>
      </c>
      <c r="J215" s="7">
        <v>0.2</v>
      </c>
    </row>
    <row r="216" spans="1:10" x14ac:dyDescent="0.35">
      <c r="A216" s="2" t="s">
        <v>224</v>
      </c>
      <c r="B216" s="3">
        <v>45722</v>
      </c>
      <c r="C216" s="2" t="s">
        <v>512</v>
      </c>
      <c r="D216" s="2" t="s">
        <v>517</v>
      </c>
      <c r="E216" s="2" t="s">
        <v>534</v>
      </c>
      <c r="F216" s="2" t="s">
        <v>556</v>
      </c>
      <c r="G216" s="2">
        <v>1277.75</v>
      </c>
      <c r="H216" s="2">
        <v>5</v>
      </c>
      <c r="I216" s="5">
        <v>340.06</v>
      </c>
      <c r="J216" s="7">
        <v>0.05</v>
      </c>
    </row>
    <row r="217" spans="1:10" x14ac:dyDescent="0.35">
      <c r="A217" s="2" t="s">
        <v>225</v>
      </c>
      <c r="B217" s="3">
        <v>45840</v>
      </c>
      <c r="C217" s="2" t="s">
        <v>512</v>
      </c>
      <c r="D217" s="2" t="s">
        <v>516</v>
      </c>
      <c r="E217" s="2" t="s">
        <v>525</v>
      </c>
      <c r="F217" s="2" t="s">
        <v>566</v>
      </c>
      <c r="G217" s="2">
        <v>1740.8</v>
      </c>
      <c r="H217" s="2">
        <v>4</v>
      </c>
      <c r="I217" s="5">
        <v>386.5</v>
      </c>
      <c r="J217" s="7">
        <v>0.2</v>
      </c>
    </row>
    <row r="218" spans="1:10" x14ac:dyDescent="0.35">
      <c r="A218" s="2" t="s">
        <v>226</v>
      </c>
      <c r="B218" s="3">
        <v>45699</v>
      </c>
      <c r="C218" s="2" t="s">
        <v>512</v>
      </c>
      <c r="D218" s="2" t="s">
        <v>517</v>
      </c>
      <c r="E218" s="2" t="s">
        <v>530</v>
      </c>
      <c r="F218" s="2" t="s">
        <v>638</v>
      </c>
      <c r="G218" s="2">
        <v>256.7</v>
      </c>
      <c r="H218" s="2">
        <v>2</v>
      </c>
      <c r="I218" s="5">
        <v>55.94</v>
      </c>
      <c r="J218" s="7">
        <v>0.15</v>
      </c>
    </row>
    <row r="219" spans="1:10" x14ac:dyDescent="0.35">
      <c r="A219" s="2" t="s">
        <v>227</v>
      </c>
      <c r="B219" s="3">
        <v>45717</v>
      </c>
      <c r="C219" s="2" t="s">
        <v>511</v>
      </c>
      <c r="D219" s="2" t="s">
        <v>516</v>
      </c>
      <c r="E219" s="2" t="s">
        <v>525</v>
      </c>
      <c r="F219" s="2" t="s">
        <v>627</v>
      </c>
      <c r="G219" s="2">
        <v>271</v>
      </c>
      <c r="H219" s="2">
        <v>1</v>
      </c>
      <c r="I219" s="5">
        <v>71.599999999999994</v>
      </c>
      <c r="J219" s="7">
        <v>0</v>
      </c>
    </row>
    <row r="220" spans="1:10" x14ac:dyDescent="0.35">
      <c r="A220" s="2" t="s">
        <v>228</v>
      </c>
      <c r="B220" s="3">
        <v>45871</v>
      </c>
      <c r="C220" s="2" t="s">
        <v>511</v>
      </c>
      <c r="D220" s="2" t="s">
        <v>516</v>
      </c>
      <c r="E220" s="2" t="s">
        <v>535</v>
      </c>
      <c r="F220" s="2" t="s">
        <v>592</v>
      </c>
      <c r="G220" s="2">
        <v>590.9</v>
      </c>
      <c r="H220" s="2">
        <v>2</v>
      </c>
      <c r="I220" s="5">
        <v>204.27</v>
      </c>
      <c r="J220" s="7">
        <v>0.05</v>
      </c>
    </row>
    <row r="221" spans="1:10" x14ac:dyDescent="0.35">
      <c r="A221" s="2" t="s">
        <v>229</v>
      </c>
      <c r="B221" s="3">
        <v>45665</v>
      </c>
      <c r="C221" s="2" t="s">
        <v>512</v>
      </c>
      <c r="D221" s="2" t="s">
        <v>516</v>
      </c>
      <c r="E221" s="2" t="s">
        <v>521</v>
      </c>
      <c r="F221" s="2" t="s">
        <v>613</v>
      </c>
      <c r="G221" s="2">
        <v>1764</v>
      </c>
      <c r="H221" s="2">
        <v>7</v>
      </c>
      <c r="I221" s="5">
        <v>582.67999999999995</v>
      </c>
      <c r="J221" s="7">
        <v>0</v>
      </c>
    </row>
    <row r="222" spans="1:10" x14ac:dyDescent="0.35">
      <c r="A222" s="2" t="s">
        <v>230</v>
      </c>
      <c r="B222" s="3">
        <v>45889</v>
      </c>
      <c r="C222" s="2" t="s">
        <v>513</v>
      </c>
      <c r="D222" s="2" t="s">
        <v>515</v>
      </c>
      <c r="E222" s="2" t="s">
        <v>528</v>
      </c>
      <c r="F222" s="2" t="s">
        <v>647</v>
      </c>
      <c r="G222" s="2">
        <v>664</v>
      </c>
      <c r="H222" s="2">
        <v>5</v>
      </c>
      <c r="I222" s="5">
        <v>207.62</v>
      </c>
      <c r="J222" s="7">
        <v>0.2</v>
      </c>
    </row>
    <row r="223" spans="1:10" x14ac:dyDescent="0.35">
      <c r="A223" s="2" t="s">
        <v>231</v>
      </c>
      <c r="B223" s="3">
        <v>45918</v>
      </c>
      <c r="C223" s="2" t="s">
        <v>512</v>
      </c>
      <c r="D223" s="2" t="s">
        <v>518</v>
      </c>
      <c r="E223" s="2" t="s">
        <v>527</v>
      </c>
      <c r="F223" s="2" t="s">
        <v>574</v>
      </c>
      <c r="G223" s="2">
        <v>115.2</v>
      </c>
      <c r="H223" s="2">
        <v>4</v>
      </c>
      <c r="I223" s="5">
        <v>46.42</v>
      </c>
      <c r="J223" s="7">
        <v>0.1</v>
      </c>
    </row>
    <row r="224" spans="1:10" x14ac:dyDescent="0.35">
      <c r="A224" s="2" t="s">
        <v>232</v>
      </c>
      <c r="B224" s="3">
        <v>45913</v>
      </c>
      <c r="C224" s="2" t="s">
        <v>511</v>
      </c>
      <c r="D224" s="2" t="s">
        <v>517</v>
      </c>
      <c r="E224" s="2" t="s">
        <v>530</v>
      </c>
      <c r="F224" s="2" t="s">
        <v>596</v>
      </c>
      <c r="G224" s="2">
        <v>300</v>
      </c>
      <c r="H224" s="2">
        <v>2</v>
      </c>
      <c r="I224" s="5">
        <v>111.07</v>
      </c>
      <c r="J224" s="7">
        <v>0</v>
      </c>
    </row>
    <row r="225" spans="1:10" x14ac:dyDescent="0.35">
      <c r="A225" s="2" t="s">
        <v>233</v>
      </c>
      <c r="B225" s="3">
        <v>45776</v>
      </c>
      <c r="C225" s="2" t="s">
        <v>513</v>
      </c>
      <c r="D225" s="2" t="s">
        <v>517</v>
      </c>
      <c r="E225" s="2" t="s">
        <v>534</v>
      </c>
      <c r="F225" s="2" t="s">
        <v>609</v>
      </c>
      <c r="G225" s="2">
        <v>662</v>
      </c>
      <c r="H225" s="2">
        <v>2</v>
      </c>
      <c r="I225" s="5">
        <v>182.81</v>
      </c>
      <c r="J225" s="7">
        <v>0</v>
      </c>
    </row>
    <row r="226" spans="1:10" x14ac:dyDescent="0.35">
      <c r="A226" s="2" t="s">
        <v>234</v>
      </c>
      <c r="B226" s="3">
        <v>45945</v>
      </c>
      <c r="C226" s="2" t="s">
        <v>511</v>
      </c>
      <c r="D226" s="2" t="s">
        <v>517</v>
      </c>
      <c r="E226" s="2" t="s">
        <v>529</v>
      </c>
      <c r="F226" s="2" t="s">
        <v>542</v>
      </c>
      <c r="G226" s="2">
        <v>1235.2</v>
      </c>
      <c r="H226" s="2">
        <v>4</v>
      </c>
      <c r="I226" s="5">
        <v>248.92</v>
      </c>
      <c r="J226" s="7">
        <v>0.2</v>
      </c>
    </row>
    <row r="227" spans="1:10" x14ac:dyDescent="0.35">
      <c r="A227" s="2" t="s">
        <v>235</v>
      </c>
      <c r="B227" s="3">
        <v>45972</v>
      </c>
      <c r="C227" s="2" t="s">
        <v>513</v>
      </c>
      <c r="D227" s="2" t="s">
        <v>517</v>
      </c>
      <c r="E227" s="2" t="s">
        <v>534</v>
      </c>
      <c r="F227" s="2" t="s">
        <v>542</v>
      </c>
      <c r="G227" s="2">
        <v>624</v>
      </c>
      <c r="H227" s="2">
        <v>2</v>
      </c>
      <c r="I227" s="5">
        <v>218.1</v>
      </c>
      <c r="J227" s="7">
        <v>0</v>
      </c>
    </row>
    <row r="228" spans="1:10" x14ac:dyDescent="0.35">
      <c r="A228" s="2" t="s">
        <v>236</v>
      </c>
      <c r="B228" s="3">
        <v>45779</v>
      </c>
      <c r="C228" s="2" t="s">
        <v>511</v>
      </c>
      <c r="D228" s="2" t="s">
        <v>517</v>
      </c>
      <c r="E228" s="2" t="s">
        <v>529</v>
      </c>
      <c r="F228" s="2" t="s">
        <v>637</v>
      </c>
      <c r="G228" s="2">
        <v>906</v>
      </c>
      <c r="H228" s="2">
        <v>2</v>
      </c>
      <c r="I228" s="5">
        <v>249.72</v>
      </c>
      <c r="J228" s="7">
        <v>0</v>
      </c>
    </row>
    <row r="229" spans="1:10" x14ac:dyDescent="0.35">
      <c r="A229" s="2" t="s">
        <v>237</v>
      </c>
      <c r="B229" s="3">
        <v>45783</v>
      </c>
      <c r="C229" s="2" t="s">
        <v>511</v>
      </c>
      <c r="D229" s="2" t="s">
        <v>515</v>
      </c>
      <c r="E229" s="2" t="s">
        <v>528</v>
      </c>
      <c r="F229" s="2" t="s">
        <v>648</v>
      </c>
      <c r="G229" s="2">
        <v>102.4</v>
      </c>
      <c r="H229" s="2">
        <v>4</v>
      </c>
      <c r="I229" s="5">
        <v>39.97</v>
      </c>
      <c r="J229" s="7">
        <v>0.2</v>
      </c>
    </row>
    <row r="230" spans="1:10" x14ac:dyDescent="0.35">
      <c r="A230" s="2" t="s">
        <v>238</v>
      </c>
      <c r="B230" s="3">
        <v>46005</v>
      </c>
      <c r="C230" s="2" t="s">
        <v>512</v>
      </c>
      <c r="D230" s="2" t="s">
        <v>518</v>
      </c>
      <c r="E230" s="2" t="s">
        <v>532</v>
      </c>
      <c r="F230" s="2" t="s">
        <v>570</v>
      </c>
      <c r="G230" s="2">
        <v>163.80000000000001</v>
      </c>
      <c r="H230" s="2">
        <v>7</v>
      </c>
      <c r="I230" s="5">
        <v>61.8</v>
      </c>
      <c r="J230" s="7">
        <v>0.1</v>
      </c>
    </row>
    <row r="231" spans="1:10" x14ac:dyDescent="0.35">
      <c r="A231" s="2" t="s">
        <v>239</v>
      </c>
      <c r="B231" s="3">
        <v>45701</v>
      </c>
      <c r="C231" s="2" t="s">
        <v>512</v>
      </c>
      <c r="D231" s="2" t="s">
        <v>517</v>
      </c>
      <c r="E231" s="2" t="s">
        <v>522</v>
      </c>
      <c r="F231" s="2" t="s">
        <v>649</v>
      </c>
      <c r="G231" s="2">
        <v>2137.5</v>
      </c>
      <c r="H231" s="2">
        <v>5</v>
      </c>
      <c r="I231" s="5">
        <v>874.92</v>
      </c>
      <c r="J231" s="7">
        <v>0.1</v>
      </c>
    </row>
    <row r="232" spans="1:10" x14ac:dyDescent="0.35">
      <c r="A232" s="2" t="s">
        <v>240</v>
      </c>
      <c r="B232" s="3">
        <v>45687</v>
      </c>
      <c r="C232" s="2" t="s">
        <v>510</v>
      </c>
      <c r="D232" s="2" t="s">
        <v>515</v>
      </c>
      <c r="E232" s="2" t="s">
        <v>528</v>
      </c>
      <c r="F232" s="2" t="s">
        <v>619</v>
      </c>
      <c r="G232" s="2">
        <v>76.5</v>
      </c>
      <c r="H232" s="2">
        <v>5</v>
      </c>
      <c r="I232" s="5">
        <v>31.29</v>
      </c>
      <c r="J232" s="7">
        <v>0.1</v>
      </c>
    </row>
    <row r="233" spans="1:10" x14ac:dyDescent="0.35">
      <c r="A233" s="2" t="s">
        <v>241</v>
      </c>
      <c r="B233" s="3">
        <v>45660</v>
      </c>
      <c r="C233" s="2" t="s">
        <v>512</v>
      </c>
      <c r="D233" s="2" t="s">
        <v>515</v>
      </c>
      <c r="E233" s="2" t="s">
        <v>528</v>
      </c>
      <c r="F233" s="2" t="s">
        <v>540</v>
      </c>
      <c r="G233" s="2">
        <v>600</v>
      </c>
      <c r="H233" s="2">
        <v>5</v>
      </c>
      <c r="I233" s="5">
        <v>149.84</v>
      </c>
      <c r="J233" s="7">
        <v>0</v>
      </c>
    </row>
    <row r="234" spans="1:10" x14ac:dyDescent="0.35">
      <c r="A234" s="2" t="s">
        <v>242</v>
      </c>
      <c r="B234" s="3">
        <v>45769</v>
      </c>
      <c r="C234" s="2" t="s">
        <v>512</v>
      </c>
      <c r="D234" s="2" t="s">
        <v>518</v>
      </c>
      <c r="E234" s="2" t="s">
        <v>527</v>
      </c>
      <c r="F234" s="2" t="s">
        <v>546</v>
      </c>
      <c r="G234" s="2">
        <v>90</v>
      </c>
      <c r="H234" s="2">
        <v>2</v>
      </c>
      <c r="I234" s="5">
        <v>35.93</v>
      </c>
      <c r="J234" s="7">
        <v>0.1</v>
      </c>
    </row>
    <row r="235" spans="1:10" x14ac:dyDescent="0.35">
      <c r="A235" s="2" t="s">
        <v>243</v>
      </c>
      <c r="B235" s="3">
        <v>45671</v>
      </c>
      <c r="C235" s="2" t="s">
        <v>512</v>
      </c>
      <c r="D235" s="2" t="s">
        <v>518</v>
      </c>
      <c r="E235" s="2" t="s">
        <v>524</v>
      </c>
      <c r="F235" s="2" t="s">
        <v>642</v>
      </c>
      <c r="G235" s="2">
        <v>295.8</v>
      </c>
      <c r="H235" s="2">
        <v>6</v>
      </c>
      <c r="I235" s="5">
        <v>73.55</v>
      </c>
      <c r="J235" s="7">
        <v>0.15</v>
      </c>
    </row>
    <row r="236" spans="1:10" x14ac:dyDescent="0.35">
      <c r="A236" s="2" t="s">
        <v>244</v>
      </c>
      <c r="B236" s="3">
        <v>45768</v>
      </c>
      <c r="C236" s="2" t="s">
        <v>512</v>
      </c>
      <c r="D236" s="2" t="s">
        <v>518</v>
      </c>
      <c r="E236" s="2" t="s">
        <v>527</v>
      </c>
      <c r="F236" s="2" t="s">
        <v>540</v>
      </c>
      <c r="G236" s="2">
        <v>208.8</v>
      </c>
      <c r="H236" s="2">
        <v>3</v>
      </c>
      <c r="I236" s="5">
        <v>86.93</v>
      </c>
      <c r="J236" s="7">
        <v>0.2</v>
      </c>
    </row>
    <row r="237" spans="1:10" x14ac:dyDescent="0.35">
      <c r="A237" s="2" t="s">
        <v>245</v>
      </c>
      <c r="B237" s="3">
        <v>45917</v>
      </c>
      <c r="C237" s="2" t="s">
        <v>511</v>
      </c>
      <c r="D237" s="2" t="s">
        <v>518</v>
      </c>
      <c r="E237" s="2" t="s">
        <v>532</v>
      </c>
      <c r="F237" s="2" t="s">
        <v>650</v>
      </c>
      <c r="G237" s="2">
        <v>427.2</v>
      </c>
      <c r="H237" s="2">
        <v>6</v>
      </c>
      <c r="I237" s="5">
        <v>188.89</v>
      </c>
      <c r="J237" s="7">
        <v>0.2</v>
      </c>
    </row>
    <row r="238" spans="1:10" x14ac:dyDescent="0.35">
      <c r="A238" s="2" t="s">
        <v>246</v>
      </c>
      <c r="B238" s="3">
        <v>45993</v>
      </c>
      <c r="C238" s="2" t="s">
        <v>513</v>
      </c>
      <c r="D238" s="2" t="s">
        <v>516</v>
      </c>
      <c r="E238" s="2" t="s">
        <v>521</v>
      </c>
      <c r="F238" s="2" t="s">
        <v>624</v>
      </c>
      <c r="G238" s="2">
        <v>178.2</v>
      </c>
      <c r="H238" s="2">
        <v>1</v>
      </c>
      <c r="I238" s="5">
        <v>77.069999999999993</v>
      </c>
      <c r="J238" s="7">
        <v>0.1</v>
      </c>
    </row>
    <row r="239" spans="1:10" x14ac:dyDescent="0.35">
      <c r="A239" s="2" t="s">
        <v>247</v>
      </c>
      <c r="B239" s="3">
        <v>45717</v>
      </c>
      <c r="C239" s="2" t="s">
        <v>510</v>
      </c>
      <c r="D239" s="2" t="s">
        <v>518</v>
      </c>
      <c r="E239" s="2" t="s">
        <v>524</v>
      </c>
      <c r="F239" s="2" t="s">
        <v>611</v>
      </c>
      <c r="G239" s="2">
        <v>464.4</v>
      </c>
      <c r="H239" s="2">
        <v>6</v>
      </c>
      <c r="I239" s="5">
        <v>175.15</v>
      </c>
      <c r="J239" s="7">
        <v>0.1</v>
      </c>
    </row>
    <row r="240" spans="1:10" x14ac:dyDescent="0.35">
      <c r="A240" s="2" t="s">
        <v>248</v>
      </c>
      <c r="B240" s="3">
        <v>46013</v>
      </c>
      <c r="C240" s="2" t="s">
        <v>511</v>
      </c>
      <c r="D240" s="2" t="s">
        <v>515</v>
      </c>
      <c r="E240" s="2" t="s">
        <v>533</v>
      </c>
      <c r="F240" s="2" t="s">
        <v>651</v>
      </c>
      <c r="G240" s="2">
        <v>350.55</v>
      </c>
      <c r="H240" s="2">
        <v>3</v>
      </c>
      <c r="I240" s="5">
        <v>90.77</v>
      </c>
      <c r="J240" s="7">
        <v>0.05</v>
      </c>
    </row>
    <row r="241" spans="1:10" x14ac:dyDescent="0.35">
      <c r="A241" s="2" t="s">
        <v>249</v>
      </c>
      <c r="B241" s="3">
        <v>45773</v>
      </c>
      <c r="C241" s="2" t="s">
        <v>512</v>
      </c>
      <c r="D241" s="2" t="s">
        <v>518</v>
      </c>
      <c r="E241" s="2" t="s">
        <v>531</v>
      </c>
      <c r="F241" s="2" t="s">
        <v>622</v>
      </c>
      <c r="G241" s="2">
        <v>236</v>
      </c>
      <c r="H241" s="2">
        <v>4</v>
      </c>
      <c r="I241" s="5">
        <v>100.55</v>
      </c>
      <c r="J241" s="7">
        <v>0</v>
      </c>
    </row>
    <row r="242" spans="1:10" x14ac:dyDescent="0.35">
      <c r="A242" s="2" t="s">
        <v>250</v>
      </c>
      <c r="B242" s="3">
        <v>45704</v>
      </c>
      <c r="C242" s="2" t="s">
        <v>510</v>
      </c>
      <c r="D242" s="2" t="s">
        <v>515</v>
      </c>
      <c r="E242" s="2" t="s">
        <v>528</v>
      </c>
      <c r="F242" s="2" t="s">
        <v>547</v>
      </c>
      <c r="G242" s="2">
        <v>595</v>
      </c>
      <c r="H242" s="2">
        <v>4</v>
      </c>
      <c r="I242" s="5">
        <v>188.04</v>
      </c>
      <c r="J242" s="7">
        <v>0.15</v>
      </c>
    </row>
    <row r="243" spans="1:10" x14ac:dyDescent="0.35">
      <c r="A243" s="2" t="s">
        <v>251</v>
      </c>
      <c r="B243" s="3">
        <v>45718</v>
      </c>
      <c r="C243" s="2" t="s">
        <v>513</v>
      </c>
      <c r="D243" s="2" t="s">
        <v>517</v>
      </c>
      <c r="E243" s="2" t="s">
        <v>534</v>
      </c>
      <c r="F243" s="2" t="s">
        <v>652</v>
      </c>
      <c r="G243" s="2">
        <v>649.79999999999995</v>
      </c>
      <c r="H243" s="2">
        <v>6</v>
      </c>
      <c r="I243" s="5">
        <v>189.29</v>
      </c>
      <c r="J243" s="7">
        <v>0.05</v>
      </c>
    </row>
    <row r="244" spans="1:10" x14ac:dyDescent="0.35">
      <c r="A244" s="2" t="s">
        <v>252</v>
      </c>
      <c r="B244" s="3">
        <v>45708</v>
      </c>
      <c r="C244" s="2" t="s">
        <v>512</v>
      </c>
      <c r="D244" s="2" t="s">
        <v>515</v>
      </c>
      <c r="E244" s="2" t="s">
        <v>528</v>
      </c>
      <c r="F244" s="2" t="s">
        <v>563</v>
      </c>
      <c r="G244" s="2">
        <v>396</v>
      </c>
      <c r="H244" s="2">
        <v>3</v>
      </c>
      <c r="I244" s="5">
        <v>78.81</v>
      </c>
      <c r="J244" s="7">
        <v>0</v>
      </c>
    </row>
    <row r="245" spans="1:10" x14ac:dyDescent="0.35">
      <c r="A245" s="2" t="s">
        <v>253</v>
      </c>
      <c r="B245" s="3">
        <v>45731</v>
      </c>
      <c r="C245" s="2" t="s">
        <v>511</v>
      </c>
      <c r="D245" s="2" t="s">
        <v>517</v>
      </c>
      <c r="E245" s="2" t="s">
        <v>534</v>
      </c>
      <c r="F245" s="2" t="s">
        <v>584</v>
      </c>
      <c r="G245" s="2">
        <v>1978.8</v>
      </c>
      <c r="H245" s="2">
        <v>6</v>
      </c>
      <c r="I245" s="5">
        <v>461.63</v>
      </c>
      <c r="J245" s="7">
        <v>0.15</v>
      </c>
    </row>
    <row r="246" spans="1:10" x14ac:dyDescent="0.35">
      <c r="A246" s="2" t="s">
        <v>254</v>
      </c>
      <c r="B246" s="3">
        <v>45757</v>
      </c>
      <c r="C246" s="2" t="s">
        <v>513</v>
      </c>
      <c r="D246" s="2" t="s">
        <v>518</v>
      </c>
      <c r="E246" s="2" t="s">
        <v>532</v>
      </c>
      <c r="F246" s="2" t="s">
        <v>544</v>
      </c>
      <c r="G246" s="2">
        <v>78</v>
      </c>
      <c r="H246" s="2">
        <v>2</v>
      </c>
      <c r="I246" s="5">
        <v>18.670000000000002</v>
      </c>
      <c r="J246" s="7">
        <v>0</v>
      </c>
    </row>
    <row r="247" spans="1:10" x14ac:dyDescent="0.35">
      <c r="A247" s="2" t="s">
        <v>255</v>
      </c>
      <c r="B247" s="3">
        <v>45693</v>
      </c>
      <c r="C247" s="2" t="s">
        <v>512</v>
      </c>
      <c r="D247" s="2" t="s">
        <v>517</v>
      </c>
      <c r="E247" s="2" t="s">
        <v>522</v>
      </c>
      <c r="F247" s="2" t="s">
        <v>619</v>
      </c>
      <c r="G247" s="2">
        <v>771.8</v>
      </c>
      <c r="H247" s="2">
        <v>4</v>
      </c>
      <c r="I247" s="5">
        <v>210.41</v>
      </c>
      <c r="J247" s="7">
        <v>0.15</v>
      </c>
    </row>
    <row r="248" spans="1:10" x14ac:dyDescent="0.35">
      <c r="A248" s="2" t="s">
        <v>256</v>
      </c>
      <c r="B248" s="3">
        <v>45993</v>
      </c>
      <c r="C248" s="2" t="s">
        <v>511</v>
      </c>
      <c r="D248" s="2" t="s">
        <v>517</v>
      </c>
      <c r="E248" s="2" t="s">
        <v>522</v>
      </c>
      <c r="F248" s="2" t="s">
        <v>653</v>
      </c>
      <c r="G248" s="2">
        <v>2193</v>
      </c>
      <c r="H248" s="2">
        <v>6</v>
      </c>
      <c r="I248" s="5">
        <v>520.78</v>
      </c>
      <c r="J248" s="7">
        <v>0.15</v>
      </c>
    </row>
    <row r="249" spans="1:10" x14ac:dyDescent="0.35">
      <c r="A249" s="2" t="s">
        <v>257</v>
      </c>
      <c r="B249" s="3">
        <v>45907</v>
      </c>
      <c r="C249" s="2" t="s">
        <v>510</v>
      </c>
      <c r="D249" s="2" t="s">
        <v>516</v>
      </c>
      <c r="E249" s="2" t="s">
        <v>525</v>
      </c>
      <c r="F249" s="2" t="s">
        <v>537</v>
      </c>
      <c r="G249" s="2">
        <v>3429</v>
      </c>
      <c r="H249" s="2">
        <v>6</v>
      </c>
      <c r="I249" s="5">
        <v>1485.04</v>
      </c>
      <c r="J249" s="7">
        <v>0.1</v>
      </c>
    </row>
    <row r="250" spans="1:10" x14ac:dyDescent="0.35">
      <c r="A250" s="2" t="s">
        <v>258</v>
      </c>
      <c r="B250" s="3">
        <v>45860</v>
      </c>
      <c r="C250" s="2" t="s">
        <v>511</v>
      </c>
      <c r="D250" s="2" t="s">
        <v>518</v>
      </c>
      <c r="E250" s="2" t="s">
        <v>532</v>
      </c>
      <c r="F250" s="2" t="s">
        <v>547</v>
      </c>
      <c r="G250" s="2">
        <v>18.05</v>
      </c>
      <c r="H250" s="2">
        <v>1</v>
      </c>
      <c r="I250" s="5">
        <v>4.55</v>
      </c>
      <c r="J250" s="7">
        <v>0.05</v>
      </c>
    </row>
    <row r="251" spans="1:10" x14ac:dyDescent="0.35">
      <c r="A251" s="2" t="s">
        <v>259</v>
      </c>
      <c r="B251" s="3">
        <v>45678</v>
      </c>
      <c r="C251" s="2" t="s">
        <v>513</v>
      </c>
      <c r="D251" s="2" t="s">
        <v>518</v>
      </c>
      <c r="E251" s="2" t="s">
        <v>527</v>
      </c>
      <c r="F251" s="2" t="s">
        <v>654</v>
      </c>
      <c r="G251" s="2">
        <v>90</v>
      </c>
      <c r="H251" s="2">
        <v>5</v>
      </c>
      <c r="I251" s="5">
        <v>28.48</v>
      </c>
      <c r="J251" s="7">
        <v>0</v>
      </c>
    </row>
    <row r="252" spans="1:10" x14ac:dyDescent="0.35">
      <c r="A252" s="2" t="s">
        <v>260</v>
      </c>
      <c r="B252" s="3">
        <v>45818</v>
      </c>
      <c r="C252" s="2" t="s">
        <v>513</v>
      </c>
      <c r="D252" s="2" t="s">
        <v>515</v>
      </c>
      <c r="E252" s="2" t="s">
        <v>526</v>
      </c>
      <c r="F252" s="2" t="s">
        <v>571</v>
      </c>
      <c r="G252" s="2">
        <v>206.4</v>
      </c>
      <c r="H252" s="2">
        <v>2</v>
      </c>
      <c r="I252" s="5">
        <v>58.97</v>
      </c>
      <c r="J252" s="7">
        <v>0.2</v>
      </c>
    </row>
    <row r="253" spans="1:10" x14ac:dyDescent="0.35">
      <c r="A253" s="2" t="s">
        <v>261</v>
      </c>
      <c r="B253" s="3">
        <v>45685</v>
      </c>
      <c r="C253" s="2" t="s">
        <v>513</v>
      </c>
      <c r="D253" s="2" t="s">
        <v>518</v>
      </c>
      <c r="E253" s="2" t="s">
        <v>527</v>
      </c>
      <c r="F253" s="2" t="s">
        <v>655</v>
      </c>
      <c r="G253" s="2">
        <v>136</v>
      </c>
      <c r="H253" s="2">
        <v>2</v>
      </c>
      <c r="I253" s="5">
        <v>52.85</v>
      </c>
      <c r="J253" s="7">
        <v>0.2</v>
      </c>
    </row>
    <row r="254" spans="1:10" x14ac:dyDescent="0.35">
      <c r="A254" s="2" t="s">
        <v>262</v>
      </c>
      <c r="B254" s="3">
        <v>45998</v>
      </c>
      <c r="C254" s="2" t="s">
        <v>512</v>
      </c>
      <c r="D254" s="2" t="s">
        <v>516</v>
      </c>
      <c r="E254" s="2" t="s">
        <v>523</v>
      </c>
      <c r="F254" s="2" t="s">
        <v>640</v>
      </c>
      <c r="G254" s="2">
        <v>1459.2</v>
      </c>
      <c r="H254" s="2">
        <v>6</v>
      </c>
      <c r="I254" s="5">
        <v>465.68</v>
      </c>
      <c r="J254" s="7">
        <v>0.05</v>
      </c>
    </row>
    <row r="255" spans="1:10" x14ac:dyDescent="0.35">
      <c r="A255" s="2" t="s">
        <v>263</v>
      </c>
      <c r="B255" s="3">
        <v>45743</v>
      </c>
      <c r="C255" s="2" t="s">
        <v>511</v>
      </c>
      <c r="D255" s="2" t="s">
        <v>517</v>
      </c>
      <c r="E255" s="2" t="s">
        <v>530</v>
      </c>
      <c r="F255" s="2" t="s">
        <v>536</v>
      </c>
      <c r="G255" s="2">
        <v>332.1</v>
      </c>
      <c r="H255" s="2">
        <v>1</v>
      </c>
      <c r="I255" s="5">
        <v>91.07</v>
      </c>
      <c r="J255" s="7">
        <v>0.1</v>
      </c>
    </row>
    <row r="256" spans="1:10" x14ac:dyDescent="0.35">
      <c r="A256" s="2" t="s">
        <v>264</v>
      </c>
      <c r="B256" s="3">
        <v>45689</v>
      </c>
      <c r="C256" s="2" t="s">
        <v>510</v>
      </c>
      <c r="D256" s="2" t="s">
        <v>515</v>
      </c>
      <c r="E256" s="2" t="s">
        <v>520</v>
      </c>
      <c r="F256" s="2" t="s">
        <v>537</v>
      </c>
      <c r="G256" s="2">
        <v>610.20000000000005</v>
      </c>
      <c r="H256" s="2">
        <v>6</v>
      </c>
      <c r="I256" s="5">
        <v>145.05000000000001</v>
      </c>
      <c r="J256" s="7">
        <v>0.1</v>
      </c>
    </row>
    <row r="257" spans="1:10" x14ac:dyDescent="0.35">
      <c r="A257" s="2" t="s">
        <v>265</v>
      </c>
      <c r="B257" s="3">
        <v>45773</v>
      </c>
      <c r="C257" s="2" t="s">
        <v>511</v>
      </c>
      <c r="D257" s="2" t="s">
        <v>518</v>
      </c>
      <c r="E257" s="2" t="s">
        <v>532</v>
      </c>
      <c r="F257" s="2" t="s">
        <v>541</v>
      </c>
      <c r="G257" s="2">
        <v>504</v>
      </c>
      <c r="H257" s="2">
        <v>7</v>
      </c>
      <c r="I257" s="5">
        <v>137.04</v>
      </c>
      <c r="J257" s="7">
        <v>0.2</v>
      </c>
    </row>
    <row r="258" spans="1:10" x14ac:dyDescent="0.35">
      <c r="A258" s="2" t="s">
        <v>266</v>
      </c>
      <c r="B258" s="3">
        <v>45905</v>
      </c>
      <c r="C258" s="2" t="s">
        <v>513</v>
      </c>
      <c r="D258" s="2" t="s">
        <v>515</v>
      </c>
      <c r="E258" s="2" t="s">
        <v>528</v>
      </c>
      <c r="F258" s="2" t="s">
        <v>629</v>
      </c>
      <c r="G258" s="2">
        <v>42</v>
      </c>
      <c r="H258" s="2">
        <v>1</v>
      </c>
      <c r="I258" s="5">
        <v>18.59</v>
      </c>
      <c r="J258" s="7">
        <v>0</v>
      </c>
    </row>
    <row r="259" spans="1:10" x14ac:dyDescent="0.35">
      <c r="A259" s="2" t="s">
        <v>267</v>
      </c>
      <c r="B259" s="3">
        <v>45835</v>
      </c>
      <c r="C259" s="2" t="s">
        <v>510</v>
      </c>
      <c r="D259" s="2" t="s">
        <v>518</v>
      </c>
      <c r="E259" s="2" t="s">
        <v>524</v>
      </c>
      <c r="F259" s="2" t="s">
        <v>563</v>
      </c>
      <c r="G259" s="2">
        <v>36.549999999999997</v>
      </c>
      <c r="H259" s="2">
        <v>1</v>
      </c>
      <c r="I259" s="5">
        <v>11.99</v>
      </c>
      <c r="J259" s="7">
        <v>0.15</v>
      </c>
    </row>
    <row r="260" spans="1:10" x14ac:dyDescent="0.35">
      <c r="A260" s="2" t="s">
        <v>268</v>
      </c>
      <c r="B260" s="3">
        <v>45821</v>
      </c>
      <c r="C260" s="2" t="s">
        <v>512</v>
      </c>
      <c r="D260" s="2" t="s">
        <v>516</v>
      </c>
      <c r="E260" s="2" t="s">
        <v>523</v>
      </c>
      <c r="F260" s="2" t="s">
        <v>616</v>
      </c>
      <c r="G260" s="2">
        <v>1486.65</v>
      </c>
      <c r="H260" s="2">
        <v>3</v>
      </c>
      <c r="I260" s="5">
        <v>350.74</v>
      </c>
      <c r="J260" s="7">
        <v>0.15</v>
      </c>
    </row>
    <row r="261" spans="1:10" x14ac:dyDescent="0.35">
      <c r="A261" s="2" t="s">
        <v>269</v>
      </c>
      <c r="B261" s="3">
        <v>45925</v>
      </c>
      <c r="C261" s="2" t="s">
        <v>513</v>
      </c>
      <c r="D261" s="2" t="s">
        <v>518</v>
      </c>
      <c r="E261" s="2" t="s">
        <v>527</v>
      </c>
      <c r="F261" s="2" t="s">
        <v>623</v>
      </c>
      <c r="G261" s="2">
        <v>81.7</v>
      </c>
      <c r="H261" s="2">
        <v>1</v>
      </c>
      <c r="I261" s="5">
        <v>26.89</v>
      </c>
      <c r="J261" s="7">
        <v>0.05</v>
      </c>
    </row>
    <row r="262" spans="1:10" x14ac:dyDescent="0.35">
      <c r="A262" s="2" t="s">
        <v>270</v>
      </c>
      <c r="B262" s="3">
        <v>45665</v>
      </c>
      <c r="C262" s="2" t="s">
        <v>512</v>
      </c>
      <c r="D262" s="2" t="s">
        <v>518</v>
      </c>
      <c r="E262" s="2" t="s">
        <v>527</v>
      </c>
      <c r="F262" s="2" t="s">
        <v>542</v>
      </c>
      <c r="G262" s="2">
        <v>220</v>
      </c>
      <c r="H262" s="2">
        <v>5</v>
      </c>
      <c r="I262" s="5">
        <v>63.47</v>
      </c>
      <c r="J262" s="7">
        <v>0</v>
      </c>
    </row>
    <row r="263" spans="1:10" x14ac:dyDescent="0.35">
      <c r="A263" s="2" t="s">
        <v>271</v>
      </c>
      <c r="B263" s="3">
        <v>45959</v>
      </c>
      <c r="C263" s="2" t="s">
        <v>510</v>
      </c>
      <c r="D263" s="2" t="s">
        <v>518</v>
      </c>
      <c r="E263" s="2" t="s">
        <v>527</v>
      </c>
      <c r="F263" s="2" t="s">
        <v>656</v>
      </c>
      <c r="G263" s="2">
        <v>115</v>
      </c>
      <c r="H263" s="2">
        <v>5</v>
      </c>
      <c r="I263" s="5">
        <v>26.8</v>
      </c>
      <c r="J263" s="7">
        <v>0</v>
      </c>
    </row>
    <row r="264" spans="1:10" x14ac:dyDescent="0.35">
      <c r="A264" s="2" t="s">
        <v>272</v>
      </c>
      <c r="B264" s="3">
        <v>45880</v>
      </c>
      <c r="C264" s="2" t="s">
        <v>510</v>
      </c>
      <c r="D264" s="2" t="s">
        <v>516</v>
      </c>
      <c r="E264" s="2" t="s">
        <v>523</v>
      </c>
      <c r="F264" s="2" t="s">
        <v>657</v>
      </c>
      <c r="G264" s="2">
        <v>2601</v>
      </c>
      <c r="H264" s="2">
        <v>5</v>
      </c>
      <c r="I264" s="5">
        <v>470.23</v>
      </c>
      <c r="J264" s="7">
        <v>0.15</v>
      </c>
    </row>
    <row r="265" spans="1:10" x14ac:dyDescent="0.35">
      <c r="A265" s="2" t="s">
        <v>273</v>
      </c>
      <c r="B265" s="3">
        <v>45790</v>
      </c>
      <c r="C265" s="2" t="s">
        <v>510</v>
      </c>
      <c r="D265" s="2" t="s">
        <v>515</v>
      </c>
      <c r="E265" s="2" t="s">
        <v>528</v>
      </c>
      <c r="F265" s="2" t="s">
        <v>558</v>
      </c>
      <c r="G265" s="2">
        <v>37.049999999999997</v>
      </c>
      <c r="H265" s="2">
        <v>1</v>
      </c>
      <c r="I265" s="5">
        <v>14.57</v>
      </c>
      <c r="J265" s="7">
        <v>0.05</v>
      </c>
    </row>
    <row r="266" spans="1:10" x14ac:dyDescent="0.35">
      <c r="A266" s="2" t="s">
        <v>274</v>
      </c>
      <c r="B266" s="3">
        <v>46021</v>
      </c>
      <c r="C266" s="2" t="s">
        <v>511</v>
      </c>
      <c r="D266" s="2" t="s">
        <v>518</v>
      </c>
      <c r="E266" s="2" t="s">
        <v>532</v>
      </c>
      <c r="F266" s="2" t="s">
        <v>629</v>
      </c>
      <c r="G266" s="2">
        <v>96</v>
      </c>
      <c r="H266" s="2">
        <v>2</v>
      </c>
      <c r="I266" s="5">
        <v>30.99</v>
      </c>
      <c r="J266" s="7">
        <v>0</v>
      </c>
    </row>
    <row r="267" spans="1:10" x14ac:dyDescent="0.35">
      <c r="A267" s="2" t="s">
        <v>275</v>
      </c>
      <c r="B267" s="3">
        <v>45698</v>
      </c>
      <c r="C267" s="2" t="s">
        <v>510</v>
      </c>
      <c r="D267" s="2" t="s">
        <v>518</v>
      </c>
      <c r="E267" s="2" t="s">
        <v>524</v>
      </c>
      <c r="F267" s="2" t="s">
        <v>556</v>
      </c>
      <c r="G267" s="2">
        <v>480.6</v>
      </c>
      <c r="H267" s="2">
        <v>6</v>
      </c>
      <c r="I267" s="5">
        <v>197.85</v>
      </c>
      <c r="J267" s="7">
        <v>0.1</v>
      </c>
    </row>
    <row r="268" spans="1:10" x14ac:dyDescent="0.35">
      <c r="A268" s="2" t="s">
        <v>276</v>
      </c>
      <c r="B268" s="3">
        <v>45796</v>
      </c>
      <c r="C268" s="2" t="s">
        <v>513</v>
      </c>
      <c r="D268" s="2" t="s">
        <v>517</v>
      </c>
      <c r="E268" s="2" t="s">
        <v>534</v>
      </c>
      <c r="F268" s="2" t="s">
        <v>538</v>
      </c>
      <c r="G268" s="2">
        <v>215</v>
      </c>
      <c r="H268" s="2">
        <v>1</v>
      </c>
      <c r="I268" s="5">
        <v>47.9</v>
      </c>
      <c r="J268" s="7">
        <v>0</v>
      </c>
    </row>
    <row r="269" spans="1:10" x14ac:dyDescent="0.35">
      <c r="A269" s="2" t="s">
        <v>277</v>
      </c>
      <c r="B269" s="3">
        <v>45905</v>
      </c>
      <c r="C269" s="2" t="s">
        <v>511</v>
      </c>
      <c r="D269" s="2" t="s">
        <v>515</v>
      </c>
      <c r="E269" s="2" t="s">
        <v>526</v>
      </c>
      <c r="F269" s="2" t="s">
        <v>622</v>
      </c>
      <c r="G269" s="2">
        <v>28.5</v>
      </c>
      <c r="H269" s="2">
        <v>1</v>
      </c>
      <c r="I269" s="5">
        <v>10.4</v>
      </c>
      <c r="J269" s="7">
        <v>0.05</v>
      </c>
    </row>
    <row r="270" spans="1:10" x14ac:dyDescent="0.35">
      <c r="A270" s="2" t="s">
        <v>278</v>
      </c>
      <c r="B270" s="3">
        <v>45960</v>
      </c>
      <c r="C270" s="2" t="s">
        <v>513</v>
      </c>
      <c r="D270" s="2" t="s">
        <v>515</v>
      </c>
      <c r="E270" s="2" t="s">
        <v>533</v>
      </c>
      <c r="F270" s="2" t="s">
        <v>547</v>
      </c>
      <c r="G270" s="2">
        <v>13.5</v>
      </c>
      <c r="H270" s="2">
        <v>1</v>
      </c>
      <c r="I270" s="5">
        <v>3.54</v>
      </c>
      <c r="J270" s="7">
        <v>0.1</v>
      </c>
    </row>
    <row r="271" spans="1:10" x14ac:dyDescent="0.35">
      <c r="A271" s="2" t="s">
        <v>279</v>
      </c>
      <c r="B271" s="3">
        <v>45696</v>
      </c>
      <c r="C271" s="2" t="s">
        <v>512</v>
      </c>
      <c r="D271" s="2" t="s">
        <v>515</v>
      </c>
      <c r="E271" s="2" t="s">
        <v>528</v>
      </c>
      <c r="F271" s="2" t="s">
        <v>658</v>
      </c>
      <c r="G271" s="2">
        <v>153</v>
      </c>
      <c r="H271" s="2">
        <v>3</v>
      </c>
      <c r="I271" s="5">
        <v>32.86</v>
      </c>
      <c r="J271" s="7">
        <v>0.15</v>
      </c>
    </row>
    <row r="272" spans="1:10" x14ac:dyDescent="0.35">
      <c r="A272" s="2" t="s">
        <v>280</v>
      </c>
      <c r="B272" s="3">
        <v>45703</v>
      </c>
      <c r="C272" s="2" t="s">
        <v>513</v>
      </c>
      <c r="D272" s="2" t="s">
        <v>518</v>
      </c>
      <c r="E272" s="2" t="s">
        <v>531</v>
      </c>
      <c r="F272" s="2" t="s">
        <v>643</v>
      </c>
      <c r="G272" s="2">
        <v>598.5</v>
      </c>
      <c r="H272" s="2">
        <v>7</v>
      </c>
      <c r="I272" s="5">
        <v>251.39</v>
      </c>
      <c r="J272" s="7">
        <v>0.1</v>
      </c>
    </row>
    <row r="273" spans="1:10" x14ac:dyDescent="0.35">
      <c r="A273" s="2" t="s">
        <v>281</v>
      </c>
      <c r="B273" s="3">
        <v>45938</v>
      </c>
      <c r="C273" s="2" t="s">
        <v>511</v>
      </c>
      <c r="D273" s="2" t="s">
        <v>518</v>
      </c>
      <c r="E273" s="2" t="s">
        <v>531</v>
      </c>
      <c r="F273" s="2" t="s">
        <v>536</v>
      </c>
      <c r="G273" s="2">
        <v>442.8</v>
      </c>
      <c r="H273" s="2">
        <v>6</v>
      </c>
      <c r="I273" s="5">
        <v>148.74</v>
      </c>
      <c r="J273" s="7">
        <v>0.1</v>
      </c>
    </row>
    <row r="274" spans="1:10" x14ac:dyDescent="0.35">
      <c r="A274" s="2" t="s">
        <v>282</v>
      </c>
      <c r="B274" s="3">
        <v>45858</v>
      </c>
      <c r="C274" s="2" t="s">
        <v>511</v>
      </c>
      <c r="D274" s="2" t="s">
        <v>517</v>
      </c>
      <c r="E274" s="2" t="s">
        <v>522</v>
      </c>
      <c r="F274" s="2" t="s">
        <v>610</v>
      </c>
      <c r="G274" s="2">
        <v>1020.6</v>
      </c>
      <c r="H274" s="2">
        <v>6</v>
      </c>
      <c r="I274" s="5">
        <v>251.51</v>
      </c>
      <c r="J274" s="7">
        <v>0.1</v>
      </c>
    </row>
    <row r="275" spans="1:10" x14ac:dyDescent="0.35">
      <c r="A275" s="2" t="s">
        <v>283</v>
      </c>
      <c r="B275" s="3">
        <v>45974</v>
      </c>
      <c r="C275" s="2" t="s">
        <v>511</v>
      </c>
      <c r="D275" s="2" t="s">
        <v>517</v>
      </c>
      <c r="E275" s="2" t="s">
        <v>534</v>
      </c>
      <c r="F275" s="2" t="s">
        <v>659</v>
      </c>
      <c r="G275" s="2">
        <v>138.55000000000001</v>
      </c>
      <c r="H275" s="2">
        <v>1</v>
      </c>
      <c r="I275" s="5">
        <v>58.14</v>
      </c>
      <c r="J275" s="7">
        <v>0.15</v>
      </c>
    </row>
    <row r="276" spans="1:10" x14ac:dyDescent="0.35">
      <c r="A276" s="2" t="s">
        <v>284</v>
      </c>
      <c r="B276" s="3">
        <v>45991</v>
      </c>
      <c r="C276" s="2" t="s">
        <v>513</v>
      </c>
      <c r="D276" s="2" t="s">
        <v>516</v>
      </c>
      <c r="E276" s="2" t="s">
        <v>521</v>
      </c>
      <c r="F276" s="2" t="s">
        <v>544</v>
      </c>
      <c r="G276" s="2">
        <v>409.5</v>
      </c>
      <c r="H276" s="2">
        <v>1</v>
      </c>
      <c r="I276" s="5">
        <v>176.07</v>
      </c>
      <c r="J276" s="7">
        <v>0.1</v>
      </c>
    </row>
    <row r="277" spans="1:10" x14ac:dyDescent="0.35">
      <c r="A277" s="2" t="s">
        <v>285</v>
      </c>
      <c r="B277" s="3">
        <v>45912</v>
      </c>
      <c r="C277" s="2" t="s">
        <v>510</v>
      </c>
      <c r="D277" s="2" t="s">
        <v>518</v>
      </c>
      <c r="E277" s="2" t="s">
        <v>527</v>
      </c>
      <c r="F277" s="2" t="s">
        <v>656</v>
      </c>
      <c r="G277" s="2">
        <v>360</v>
      </c>
      <c r="H277" s="2">
        <v>4</v>
      </c>
      <c r="I277" s="5">
        <v>65.87</v>
      </c>
      <c r="J277" s="7">
        <v>0</v>
      </c>
    </row>
    <row r="278" spans="1:10" x14ac:dyDescent="0.35">
      <c r="A278" s="2" t="s">
        <v>286</v>
      </c>
      <c r="B278" s="3">
        <v>45707</v>
      </c>
      <c r="C278" s="2" t="s">
        <v>512</v>
      </c>
      <c r="D278" s="2" t="s">
        <v>516</v>
      </c>
      <c r="E278" s="2" t="s">
        <v>535</v>
      </c>
      <c r="F278" s="2" t="s">
        <v>639</v>
      </c>
      <c r="G278" s="2">
        <v>459.9</v>
      </c>
      <c r="H278" s="2">
        <v>1</v>
      </c>
      <c r="I278" s="5">
        <v>83.35</v>
      </c>
      <c r="J278" s="7">
        <v>0.1</v>
      </c>
    </row>
    <row r="279" spans="1:10" x14ac:dyDescent="0.35">
      <c r="A279" s="2" t="s">
        <v>287</v>
      </c>
      <c r="B279" s="3">
        <v>45873</v>
      </c>
      <c r="C279" s="2" t="s">
        <v>511</v>
      </c>
      <c r="D279" s="2" t="s">
        <v>516</v>
      </c>
      <c r="E279" s="2" t="s">
        <v>521</v>
      </c>
      <c r="F279" s="2" t="s">
        <v>660</v>
      </c>
      <c r="G279" s="2">
        <v>2746.8</v>
      </c>
      <c r="H279" s="2">
        <v>4</v>
      </c>
      <c r="I279" s="5">
        <v>621.03</v>
      </c>
      <c r="J279" s="7">
        <v>0.1</v>
      </c>
    </row>
    <row r="280" spans="1:10" x14ac:dyDescent="0.35">
      <c r="A280" s="2" t="s">
        <v>288</v>
      </c>
      <c r="B280" s="3">
        <v>45672</v>
      </c>
      <c r="C280" s="2" t="s">
        <v>512</v>
      </c>
      <c r="D280" s="2" t="s">
        <v>518</v>
      </c>
      <c r="E280" s="2" t="s">
        <v>531</v>
      </c>
      <c r="F280" s="2" t="s">
        <v>563</v>
      </c>
      <c r="G280" s="2">
        <v>345.1</v>
      </c>
      <c r="H280" s="2">
        <v>7</v>
      </c>
      <c r="I280" s="5">
        <v>112.02</v>
      </c>
      <c r="J280" s="7">
        <v>0.15</v>
      </c>
    </row>
    <row r="281" spans="1:10" x14ac:dyDescent="0.35">
      <c r="A281" s="2" t="s">
        <v>289</v>
      </c>
      <c r="B281" s="3">
        <v>45836</v>
      </c>
      <c r="C281" s="2" t="s">
        <v>511</v>
      </c>
      <c r="D281" s="2" t="s">
        <v>517</v>
      </c>
      <c r="E281" s="2" t="s">
        <v>530</v>
      </c>
      <c r="F281" s="2" t="s">
        <v>624</v>
      </c>
      <c r="G281" s="2">
        <v>1151.75</v>
      </c>
      <c r="H281" s="2">
        <v>5</v>
      </c>
      <c r="I281" s="5">
        <v>272.99</v>
      </c>
      <c r="J281" s="7">
        <v>0.15</v>
      </c>
    </row>
    <row r="282" spans="1:10" x14ac:dyDescent="0.35">
      <c r="A282" s="2" t="s">
        <v>290</v>
      </c>
      <c r="B282" s="3">
        <v>45851</v>
      </c>
      <c r="C282" s="2" t="s">
        <v>511</v>
      </c>
      <c r="D282" s="2" t="s">
        <v>515</v>
      </c>
      <c r="E282" s="2" t="s">
        <v>520</v>
      </c>
      <c r="F282" s="2" t="s">
        <v>644</v>
      </c>
      <c r="G282" s="2">
        <v>324</v>
      </c>
      <c r="H282" s="2">
        <v>4</v>
      </c>
      <c r="I282" s="5">
        <v>88.74</v>
      </c>
      <c r="J282" s="7">
        <v>0.1</v>
      </c>
    </row>
    <row r="283" spans="1:10" x14ac:dyDescent="0.35">
      <c r="A283" s="2" t="s">
        <v>291</v>
      </c>
      <c r="B283" s="3">
        <v>45718</v>
      </c>
      <c r="C283" s="2" t="s">
        <v>511</v>
      </c>
      <c r="D283" s="2" t="s">
        <v>515</v>
      </c>
      <c r="E283" s="2" t="s">
        <v>528</v>
      </c>
      <c r="F283" s="2" t="s">
        <v>625</v>
      </c>
      <c r="G283" s="2">
        <v>20</v>
      </c>
      <c r="H283" s="2">
        <v>1</v>
      </c>
      <c r="I283" s="5">
        <v>8.98</v>
      </c>
      <c r="J283" s="7">
        <v>0</v>
      </c>
    </row>
    <row r="284" spans="1:10" x14ac:dyDescent="0.35">
      <c r="A284" s="2" t="s">
        <v>292</v>
      </c>
      <c r="B284" s="3">
        <v>45997</v>
      </c>
      <c r="C284" s="2" t="s">
        <v>511</v>
      </c>
      <c r="D284" s="2" t="s">
        <v>517</v>
      </c>
      <c r="E284" s="2" t="s">
        <v>534</v>
      </c>
      <c r="F284" s="2" t="s">
        <v>588</v>
      </c>
      <c r="G284" s="2">
        <v>1082.7</v>
      </c>
      <c r="H284" s="2">
        <v>3</v>
      </c>
      <c r="I284" s="5">
        <v>356.41</v>
      </c>
      <c r="J284" s="7">
        <v>0.1</v>
      </c>
    </row>
    <row r="285" spans="1:10" x14ac:dyDescent="0.35">
      <c r="A285" s="2" t="s">
        <v>293</v>
      </c>
      <c r="B285" s="3">
        <v>45747</v>
      </c>
      <c r="C285" s="2" t="s">
        <v>510</v>
      </c>
      <c r="D285" s="2" t="s">
        <v>516</v>
      </c>
      <c r="E285" s="2" t="s">
        <v>535</v>
      </c>
      <c r="F285" s="2" t="s">
        <v>616</v>
      </c>
      <c r="G285" s="2">
        <v>323.85000000000002</v>
      </c>
      <c r="H285" s="2">
        <v>1</v>
      </c>
      <c r="I285" s="5">
        <v>136.29</v>
      </c>
      <c r="J285" s="7">
        <v>0.15</v>
      </c>
    </row>
    <row r="286" spans="1:10" x14ac:dyDescent="0.35">
      <c r="A286" s="2" t="s">
        <v>294</v>
      </c>
      <c r="B286" s="3">
        <v>45674</v>
      </c>
      <c r="C286" s="2" t="s">
        <v>511</v>
      </c>
      <c r="D286" s="2" t="s">
        <v>516</v>
      </c>
      <c r="E286" s="2" t="s">
        <v>525</v>
      </c>
      <c r="F286" s="2" t="s">
        <v>537</v>
      </c>
      <c r="G286" s="2">
        <v>3345.6</v>
      </c>
      <c r="H286" s="2">
        <v>6</v>
      </c>
      <c r="I286" s="5">
        <v>1248.47</v>
      </c>
      <c r="J286" s="7">
        <v>0.2</v>
      </c>
    </row>
    <row r="287" spans="1:10" x14ac:dyDescent="0.35">
      <c r="A287" s="2" t="s">
        <v>295</v>
      </c>
      <c r="B287" s="3">
        <v>45990</v>
      </c>
      <c r="C287" s="2" t="s">
        <v>510</v>
      </c>
      <c r="D287" s="2" t="s">
        <v>515</v>
      </c>
      <c r="E287" s="2" t="s">
        <v>526</v>
      </c>
      <c r="F287" s="2" t="s">
        <v>648</v>
      </c>
      <c r="G287" s="2">
        <v>333.9</v>
      </c>
      <c r="H287" s="2">
        <v>7</v>
      </c>
      <c r="I287" s="5">
        <v>146.21</v>
      </c>
      <c r="J287" s="7">
        <v>0.1</v>
      </c>
    </row>
    <row r="288" spans="1:10" x14ac:dyDescent="0.35">
      <c r="A288" s="2" t="s">
        <v>296</v>
      </c>
      <c r="B288" s="3">
        <v>45925</v>
      </c>
      <c r="C288" s="2" t="s">
        <v>512</v>
      </c>
      <c r="D288" s="2" t="s">
        <v>516</v>
      </c>
      <c r="E288" s="2" t="s">
        <v>525</v>
      </c>
      <c r="F288" s="2" t="s">
        <v>548</v>
      </c>
      <c r="G288" s="2">
        <v>313.60000000000002</v>
      </c>
      <c r="H288" s="2">
        <v>4</v>
      </c>
      <c r="I288" s="5">
        <v>80.66</v>
      </c>
      <c r="J288" s="7">
        <v>0.2</v>
      </c>
    </row>
    <row r="289" spans="1:10" x14ac:dyDescent="0.35">
      <c r="A289" s="2" t="s">
        <v>297</v>
      </c>
      <c r="B289" s="3">
        <v>45815</v>
      </c>
      <c r="C289" s="2" t="s">
        <v>512</v>
      </c>
      <c r="D289" s="2" t="s">
        <v>517</v>
      </c>
      <c r="E289" s="2" t="s">
        <v>534</v>
      </c>
      <c r="F289" s="2" t="s">
        <v>576</v>
      </c>
      <c r="G289" s="2">
        <v>1771.2</v>
      </c>
      <c r="H289" s="2">
        <v>4</v>
      </c>
      <c r="I289" s="5">
        <v>796.03</v>
      </c>
      <c r="J289" s="7">
        <v>0.1</v>
      </c>
    </row>
    <row r="290" spans="1:10" x14ac:dyDescent="0.35">
      <c r="A290" s="2" t="s">
        <v>298</v>
      </c>
      <c r="B290" s="3">
        <v>45896</v>
      </c>
      <c r="C290" s="2" t="s">
        <v>511</v>
      </c>
      <c r="D290" s="2" t="s">
        <v>517</v>
      </c>
      <c r="E290" s="2" t="s">
        <v>522</v>
      </c>
      <c r="F290" s="2" t="s">
        <v>576</v>
      </c>
      <c r="G290" s="2">
        <v>380</v>
      </c>
      <c r="H290" s="2">
        <v>2</v>
      </c>
      <c r="I290" s="5">
        <v>161.53</v>
      </c>
      <c r="J290" s="7">
        <v>0.05</v>
      </c>
    </row>
    <row r="291" spans="1:10" x14ac:dyDescent="0.35">
      <c r="A291" s="2" t="s">
        <v>299</v>
      </c>
      <c r="B291" s="3">
        <v>45762</v>
      </c>
      <c r="C291" s="2" t="s">
        <v>513</v>
      </c>
      <c r="D291" s="2" t="s">
        <v>516</v>
      </c>
      <c r="E291" s="2" t="s">
        <v>525</v>
      </c>
      <c r="F291" s="2" t="s">
        <v>618</v>
      </c>
      <c r="G291" s="2">
        <v>1736.6</v>
      </c>
      <c r="H291" s="2">
        <v>4</v>
      </c>
      <c r="I291" s="5">
        <v>467.99</v>
      </c>
      <c r="J291" s="7">
        <v>0.05</v>
      </c>
    </row>
    <row r="292" spans="1:10" x14ac:dyDescent="0.35">
      <c r="A292" s="2" t="s">
        <v>300</v>
      </c>
      <c r="B292" s="3">
        <v>45916</v>
      </c>
      <c r="C292" s="2" t="s">
        <v>511</v>
      </c>
      <c r="D292" s="2" t="s">
        <v>515</v>
      </c>
      <c r="E292" s="2" t="s">
        <v>528</v>
      </c>
      <c r="F292" s="2" t="s">
        <v>571</v>
      </c>
      <c r="G292" s="2">
        <v>264</v>
      </c>
      <c r="H292" s="2">
        <v>2</v>
      </c>
      <c r="I292" s="5">
        <v>107.8</v>
      </c>
      <c r="J292" s="7">
        <v>0</v>
      </c>
    </row>
    <row r="293" spans="1:10" x14ac:dyDescent="0.35">
      <c r="A293" s="2" t="s">
        <v>301</v>
      </c>
      <c r="B293" s="3">
        <v>45925</v>
      </c>
      <c r="C293" s="2" t="s">
        <v>510</v>
      </c>
      <c r="D293" s="2" t="s">
        <v>517</v>
      </c>
      <c r="E293" s="2" t="s">
        <v>529</v>
      </c>
      <c r="F293" s="2" t="s">
        <v>660</v>
      </c>
      <c r="G293" s="2">
        <v>2502.3000000000002</v>
      </c>
      <c r="H293" s="2">
        <v>6</v>
      </c>
      <c r="I293" s="5">
        <v>1118.1300000000001</v>
      </c>
      <c r="J293" s="7">
        <v>0.05</v>
      </c>
    </row>
    <row r="294" spans="1:10" x14ac:dyDescent="0.35">
      <c r="A294" s="2" t="s">
        <v>302</v>
      </c>
      <c r="B294" s="3">
        <v>45951</v>
      </c>
      <c r="C294" s="2" t="s">
        <v>511</v>
      </c>
      <c r="D294" s="2" t="s">
        <v>515</v>
      </c>
      <c r="E294" s="2" t="s">
        <v>528</v>
      </c>
      <c r="F294" s="2" t="s">
        <v>537</v>
      </c>
      <c r="G294" s="2">
        <v>532</v>
      </c>
      <c r="H294" s="2">
        <v>7</v>
      </c>
      <c r="I294" s="5">
        <v>134.66</v>
      </c>
      <c r="J294" s="7">
        <v>0</v>
      </c>
    </row>
    <row r="295" spans="1:10" x14ac:dyDescent="0.35">
      <c r="A295" s="2" t="s">
        <v>303</v>
      </c>
      <c r="B295" s="3">
        <v>45687</v>
      </c>
      <c r="C295" s="2" t="s">
        <v>511</v>
      </c>
      <c r="D295" s="2" t="s">
        <v>517</v>
      </c>
      <c r="E295" s="2" t="s">
        <v>534</v>
      </c>
      <c r="F295" s="2" t="s">
        <v>619</v>
      </c>
      <c r="G295" s="2">
        <v>220.8</v>
      </c>
      <c r="H295" s="2">
        <v>2</v>
      </c>
      <c r="I295" s="5">
        <v>47.99</v>
      </c>
      <c r="J295" s="7">
        <v>0.2</v>
      </c>
    </row>
    <row r="296" spans="1:10" x14ac:dyDescent="0.35">
      <c r="A296" s="2" t="s">
        <v>304</v>
      </c>
      <c r="B296" s="3">
        <v>45970</v>
      </c>
      <c r="C296" s="2" t="s">
        <v>513</v>
      </c>
      <c r="D296" s="2" t="s">
        <v>517</v>
      </c>
      <c r="E296" s="2" t="s">
        <v>530</v>
      </c>
      <c r="F296" s="2" t="s">
        <v>661</v>
      </c>
      <c r="G296" s="2">
        <v>526.5</v>
      </c>
      <c r="H296" s="2">
        <v>3</v>
      </c>
      <c r="I296" s="5">
        <v>154.16</v>
      </c>
      <c r="J296" s="7">
        <v>0.1</v>
      </c>
    </row>
    <row r="297" spans="1:10" x14ac:dyDescent="0.35">
      <c r="A297" s="2" t="s">
        <v>305</v>
      </c>
      <c r="B297" s="3">
        <v>45978</v>
      </c>
      <c r="C297" s="2" t="s">
        <v>512</v>
      </c>
      <c r="D297" s="2" t="s">
        <v>518</v>
      </c>
      <c r="E297" s="2" t="s">
        <v>531</v>
      </c>
      <c r="F297" s="2" t="s">
        <v>622</v>
      </c>
      <c r="G297" s="2">
        <v>243.95</v>
      </c>
      <c r="H297" s="2">
        <v>7</v>
      </c>
      <c r="I297" s="5">
        <v>106.83</v>
      </c>
      <c r="J297" s="7">
        <v>0.15</v>
      </c>
    </row>
    <row r="298" spans="1:10" x14ac:dyDescent="0.35">
      <c r="A298" s="2" t="s">
        <v>306</v>
      </c>
      <c r="B298" s="3">
        <v>45783</v>
      </c>
      <c r="C298" s="2" t="s">
        <v>510</v>
      </c>
      <c r="D298" s="2" t="s">
        <v>518</v>
      </c>
      <c r="E298" s="2" t="s">
        <v>527</v>
      </c>
      <c r="F298" s="2" t="s">
        <v>611</v>
      </c>
      <c r="G298" s="2">
        <v>432</v>
      </c>
      <c r="H298" s="2">
        <v>5</v>
      </c>
      <c r="I298" s="5">
        <v>154.66999999999999</v>
      </c>
      <c r="J298" s="7">
        <v>0.1</v>
      </c>
    </row>
    <row r="299" spans="1:10" x14ac:dyDescent="0.35">
      <c r="A299" s="2" t="s">
        <v>307</v>
      </c>
      <c r="B299" s="3">
        <v>45688</v>
      </c>
      <c r="C299" s="2" t="s">
        <v>511</v>
      </c>
      <c r="D299" s="2" t="s">
        <v>516</v>
      </c>
      <c r="E299" s="2" t="s">
        <v>535</v>
      </c>
      <c r="F299" s="2" t="s">
        <v>612</v>
      </c>
      <c r="G299" s="2">
        <v>2001.75</v>
      </c>
      <c r="H299" s="2">
        <v>5</v>
      </c>
      <c r="I299" s="5">
        <v>598.29</v>
      </c>
      <c r="J299" s="7">
        <v>0.15</v>
      </c>
    </row>
    <row r="300" spans="1:10" x14ac:dyDescent="0.35">
      <c r="A300" s="2" t="s">
        <v>308</v>
      </c>
      <c r="B300" s="3">
        <v>45812</v>
      </c>
      <c r="C300" s="2" t="s">
        <v>513</v>
      </c>
      <c r="D300" s="2" t="s">
        <v>516</v>
      </c>
      <c r="E300" s="2" t="s">
        <v>535</v>
      </c>
      <c r="F300" s="2" t="s">
        <v>634</v>
      </c>
      <c r="G300" s="2">
        <v>1820</v>
      </c>
      <c r="H300" s="2">
        <v>5</v>
      </c>
      <c r="I300" s="5">
        <v>630.20000000000005</v>
      </c>
      <c r="J300" s="7">
        <v>0.2</v>
      </c>
    </row>
    <row r="301" spans="1:10" x14ac:dyDescent="0.35">
      <c r="A301" s="2" t="s">
        <v>309</v>
      </c>
      <c r="B301" s="3">
        <v>45687</v>
      </c>
      <c r="C301" s="2" t="s">
        <v>513</v>
      </c>
      <c r="D301" s="2" t="s">
        <v>518</v>
      </c>
      <c r="E301" s="2" t="s">
        <v>527</v>
      </c>
      <c r="F301" s="2" t="s">
        <v>617</v>
      </c>
      <c r="G301" s="2">
        <v>100.8</v>
      </c>
      <c r="H301" s="2">
        <v>2</v>
      </c>
      <c r="I301" s="5">
        <v>32.880000000000003</v>
      </c>
      <c r="J301" s="7">
        <v>0.2</v>
      </c>
    </row>
    <row r="302" spans="1:10" x14ac:dyDescent="0.35">
      <c r="A302" s="2" t="s">
        <v>310</v>
      </c>
      <c r="B302" s="3">
        <v>45858</v>
      </c>
      <c r="C302" s="2" t="s">
        <v>512</v>
      </c>
      <c r="D302" s="2" t="s">
        <v>516</v>
      </c>
      <c r="E302" s="2" t="s">
        <v>525</v>
      </c>
      <c r="F302" s="2" t="s">
        <v>627</v>
      </c>
      <c r="G302" s="2">
        <v>345.1</v>
      </c>
      <c r="H302" s="2">
        <v>2</v>
      </c>
      <c r="I302" s="5">
        <v>62.6</v>
      </c>
      <c r="J302" s="7">
        <v>0.15</v>
      </c>
    </row>
    <row r="303" spans="1:10" x14ac:dyDescent="0.35">
      <c r="A303" s="2" t="s">
        <v>311</v>
      </c>
      <c r="B303" s="3">
        <v>45962</v>
      </c>
      <c r="C303" s="2" t="s">
        <v>512</v>
      </c>
      <c r="D303" s="2" t="s">
        <v>516</v>
      </c>
      <c r="E303" s="2" t="s">
        <v>523</v>
      </c>
      <c r="F303" s="2" t="s">
        <v>589</v>
      </c>
      <c r="G303" s="2">
        <v>4266.1499999999996</v>
      </c>
      <c r="H303" s="2">
        <v>7</v>
      </c>
      <c r="I303" s="5">
        <v>790.82</v>
      </c>
      <c r="J303" s="7">
        <v>0.15</v>
      </c>
    </row>
    <row r="304" spans="1:10" x14ac:dyDescent="0.35">
      <c r="A304" s="2" t="s">
        <v>312</v>
      </c>
      <c r="B304" s="3">
        <v>45708</v>
      </c>
      <c r="C304" s="2" t="s">
        <v>513</v>
      </c>
      <c r="D304" s="2" t="s">
        <v>517</v>
      </c>
      <c r="E304" s="2" t="s">
        <v>529</v>
      </c>
      <c r="F304" s="2" t="s">
        <v>616</v>
      </c>
      <c r="G304" s="2">
        <v>1350.9</v>
      </c>
      <c r="H304" s="2">
        <v>3</v>
      </c>
      <c r="I304" s="5">
        <v>513.30999999999995</v>
      </c>
      <c r="J304" s="7">
        <v>0.05</v>
      </c>
    </row>
    <row r="305" spans="1:10" x14ac:dyDescent="0.35">
      <c r="A305" s="2" t="s">
        <v>313</v>
      </c>
      <c r="B305" s="3">
        <v>45937</v>
      </c>
      <c r="C305" s="2" t="s">
        <v>512</v>
      </c>
      <c r="D305" s="2" t="s">
        <v>517</v>
      </c>
      <c r="E305" s="2" t="s">
        <v>534</v>
      </c>
      <c r="F305" s="2" t="s">
        <v>588</v>
      </c>
      <c r="G305" s="2">
        <v>1220.4000000000001</v>
      </c>
      <c r="H305" s="2">
        <v>4</v>
      </c>
      <c r="I305" s="5">
        <v>494.73</v>
      </c>
      <c r="J305" s="7">
        <v>0.1</v>
      </c>
    </row>
    <row r="306" spans="1:10" x14ac:dyDescent="0.35">
      <c r="A306" s="2" t="s">
        <v>314</v>
      </c>
      <c r="B306" s="3">
        <v>45932</v>
      </c>
      <c r="C306" s="2" t="s">
        <v>512</v>
      </c>
      <c r="D306" s="2" t="s">
        <v>515</v>
      </c>
      <c r="E306" s="2" t="s">
        <v>533</v>
      </c>
      <c r="F306" s="2" t="s">
        <v>616</v>
      </c>
      <c r="G306" s="2">
        <v>339</v>
      </c>
      <c r="H306" s="2">
        <v>3</v>
      </c>
      <c r="I306" s="5">
        <v>80.010000000000005</v>
      </c>
      <c r="J306" s="7">
        <v>0</v>
      </c>
    </row>
    <row r="307" spans="1:10" x14ac:dyDescent="0.35">
      <c r="A307" s="2" t="s">
        <v>315</v>
      </c>
      <c r="B307" s="3">
        <v>45924</v>
      </c>
      <c r="C307" s="2" t="s">
        <v>513</v>
      </c>
      <c r="D307" s="2" t="s">
        <v>518</v>
      </c>
      <c r="E307" s="2" t="s">
        <v>524</v>
      </c>
      <c r="F307" s="2" t="s">
        <v>622</v>
      </c>
      <c r="G307" s="2">
        <v>103.5</v>
      </c>
      <c r="H307" s="2">
        <v>5</v>
      </c>
      <c r="I307" s="5">
        <v>21.16</v>
      </c>
      <c r="J307" s="7">
        <v>0.1</v>
      </c>
    </row>
    <row r="308" spans="1:10" x14ac:dyDescent="0.35">
      <c r="A308" s="2" t="s">
        <v>316</v>
      </c>
      <c r="B308" s="3">
        <v>45669</v>
      </c>
      <c r="C308" s="2" t="s">
        <v>513</v>
      </c>
      <c r="D308" s="2" t="s">
        <v>518</v>
      </c>
      <c r="E308" s="2" t="s">
        <v>532</v>
      </c>
      <c r="F308" s="2" t="s">
        <v>620</v>
      </c>
      <c r="G308" s="2">
        <v>361.25</v>
      </c>
      <c r="H308" s="2">
        <v>5</v>
      </c>
      <c r="I308" s="5">
        <v>117.03</v>
      </c>
      <c r="J308" s="7">
        <v>0.15</v>
      </c>
    </row>
    <row r="309" spans="1:10" x14ac:dyDescent="0.35">
      <c r="A309" s="2" t="s">
        <v>317</v>
      </c>
      <c r="B309" s="3">
        <v>45732</v>
      </c>
      <c r="C309" s="2" t="s">
        <v>512</v>
      </c>
      <c r="D309" s="2" t="s">
        <v>515</v>
      </c>
      <c r="E309" s="2" t="s">
        <v>526</v>
      </c>
      <c r="F309" s="2" t="s">
        <v>547</v>
      </c>
      <c r="G309" s="2">
        <v>125.4</v>
      </c>
      <c r="H309" s="2">
        <v>2</v>
      </c>
      <c r="I309" s="5">
        <v>39.79</v>
      </c>
      <c r="J309" s="7">
        <v>0.05</v>
      </c>
    </row>
    <row r="310" spans="1:10" x14ac:dyDescent="0.35">
      <c r="A310" s="2" t="s">
        <v>318</v>
      </c>
      <c r="B310" s="3">
        <v>45896</v>
      </c>
      <c r="C310" s="2" t="s">
        <v>511</v>
      </c>
      <c r="D310" s="2" t="s">
        <v>515</v>
      </c>
      <c r="E310" s="2" t="s">
        <v>526</v>
      </c>
      <c r="F310" s="2" t="s">
        <v>577</v>
      </c>
      <c r="G310" s="2">
        <v>86.4</v>
      </c>
      <c r="H310" s="2">
        <v>1</v>
      </c>
      <c r="I310" s="5">
        <v>24.83</v>
      </c>
      <c r="J310" s="7">
        <v>0.1</v>
      </c>
    </row>
    <row r="311" spans="1:10" x14ac:dyDescent="0.35">
      <c r="A311" s="2" t="s">
        <v>319</v>
      </c>
      <c r="B311" s="3">
        <v>45882</v>
      </c>
      <c r="C311" s="2" t="s">
        <v>511</v>
      </c>
      <c r="D311" s="2" t="s">
        <v>516</v>
      </c>
      <c r="E311" s="2" t="s">
        <v>523</v>
      </c>
      <c r="F311" s="2" t="s">
        <v>614</v>
      </c>
      <c r="G311" s="2">
        <v>2856</v>
      </c>
      <c r="H311" s="2">
        <v>7</v>
      </c>
      <c r="I311" s="5">
        <v>791.53</v>
      </c>
      <c r="J311" s="7">
        <v>0</v>
      </c>
    </row>
    <row r="312" spans="1:10" x14ac:dyDescent="0.35">
      <c r="A312" s="2" t="s">
        <v>320</v>
      </c>
      <c r="B312" s="3">
        <v>45865</v>
      </c>
      <c r="C312" s="2" t="s">
        <v>513</v>
      </c>
      <c r="D312" s="2" t="s">
        <v>515</v>
      </c>
      <c r="E312" s="2" t="s">
        <v>526</v>
      </c>
      <c r="F312" s="2" t="s">
        <v>649</v>
      </c>
      <c r="G312" s="2">
        <v>398.4</v>
      </c>
      <c r="H312" s="2">
        <v>6</v>
      </c>
      <c r="I312" s="5">
        <v>79.63</v>
      </c>
      <c r="J312" s="7">
        <v>0.2</v>
      </c>
    </row>
    <row r="313" spans="1:10" x14ac:dyDescent="0.35">
      <c r="A313" s="2" t="s">
        <v>321</v>
      </c>
      <c r="B313" s="3">
        <v>45851</v>
      </c>
      <c r="C313" s="2" t="s">
        <v>512</v>
      </c>
      <c r="D313" s="2" t="s">
        <v>516</v>
      </c>
      <c r="E313" s="2" t="s">
        <v>535</v>
      </c>
      <c r="F313" s="2" t="s">
        <v>545</v>
      </c>
      <c r="G313" s="2">
        <v>1548</v>
      </c>
      <c r="H313" s="2">
        <v>3</v>
      </c>
      <c r="I313" s="5">
        <v>546.66999999999996</v>
      </c>
      <c r="J313" s="7">
        <v>0.2</v>
      </c>
    </row>
    <row r="314" spans="1:10" x14ac:dyDescent="0.35">
      <c r="A314" s="2" t="s">
        <v>322</v>
      </c>
      <c r="B314" s="3">
        <v>45770</v>
      </c>
      <c r="C314" s="2" t="s">
        <v>511</v>
      </c>
      <c r="D314" s="2" t="s">
        <v>518</v>
      </c>
      <c r="E314" s="2" t="s">
        <v>532</v>
      </c>
      <c r="F314" s="2" t="s">
        <v>610</v>
      </c>
      <c r="G314" s="2">
        <v>21.85</v>
      </c>
      <c r="H314" s="2">
        <v>1</v>
      </c>
      <c r="I314" s="5">
        <v>5.84</v>
      </c>
      <c r="J314" s="7">
        <v>0.05</v>
      </c>
    </row>
    <row r="315" spans="1:10" x14ac:dyDescent="0.35">
      <c r="A315" s="2" t="s">
        <v>323</v>
      </c>
      <c r="B315" s="3">
        <v>45798</v>
      </c>
      <c r="C315" s="2" t="s">
        <v>511</v>
      </c>
      <c r="D315" s="2" t="s">
        <v>517</v>
      </c>
      <c r="E315" s="2" t="s">
        <v>534</v>
      </c>
      <c r="F315" s="2" t="s">
        <v>662</v>
      </c>
      <c r="G315" s="2">
        <v>993</v>
      </c>
      <c r="H315" s="2">
        <v>3</v>
      </c>
      <c r="I315" s="5">
        <v>428.34</v>
      </c>
      <c r="J315" s="7">
        <v>0</v>
      </c>
    </row>
    <row r="316" spans="1:10" x14ac:dyDescent="0.35">
      <c r="A316" s="2" t="s">
        <v>324</v>
      </c>
      <c r="B316" s="3">
        <v>45680</v>
      </c>
      <c r="C316" s="2" t="s">
        <v>512</v>
      </c>
      <c r="D316" s="2" t="s">
        <v>516</v>
      </c>
      <c r="E316" s="2" t="s">
        <v>521</v>
      </c>
      <c r="F316" s="2" t="s">
        <v>663</v>
      </c>
      <c r="G316" s="2">
        <v>195.7</v>
      </c>
      <c r="H316" s="2">
        <v>1</v>
      </c>
      <c r="I316" s="5">
        <v>82.55</v>
      </c>
      <c r="J316" s="7">
        <v>0.05</v>
      </c>
    </row>
    <row r="317" spans="1:10" x14ac:dyDescent="0.35">
      <c r="A317" s="2" t="s">
        <v>325</v>
      </c>
      <c r="B317" s="3">
        <v>45830</v>
      </c>
      <c r="C317" s="2" t="s">
        <v>511</v>
      </c>
      <c r="D317" s="2" t="s">
        <v>517</v>
      </c>
      <c r="E317" s="2" t="s">
        <v>522</v>
      </c>
      <c r="F317" s="2" t="s">
        <v>663</v>
      </c>
      <c r="G317" s="2">
        <v>1429.2</v>
      </c>
      <c r="H317" s="2">
        <v>4</v>
      </c>
      <c r="I317" s="5">
        <v>399.23</v>
      </c>
      <c r="J317" s="7">
        <v>0.1</v>
      </c>
    </row>
    <row r="318" spans="1:10" x14ac:dyDescent="0.35">
      <c r="A318" s="2" t="s">
        <v>326</v>
      </c>
      <c r="B318" s="3">
        <v>45891</v>
      </c>
      <c r="C318" s="2" t="s">
        <v>511</v>
      </c>
      <c r="D318" s="2" t="s">
        <v>516</v>
      </c>
      <c r="E318" s="2" t="s">
        <v>525</v>
      </c>
      <c r="F318" s="2" t="s">
        <v>582</v>
      </c>
      <c r="G318" s="2">
        <v>606</v>
      </c>
      <c r="H318" s="2">
        <v>3</v>
      </c>
      <c r="I318" s="5">
        <v>190.79</v>
      </c>
      <c r="J318" s="7">
        <v>0</v>
      </c>
    </row>
    <row r="319" spans="1:10" x14ac:dyDescent="0.35">
      <c r="A319" s="2" t="s">
        <v>327</v>
      </c>
      <c r="B319" s="3">
        <v>45872</v>
      </c>
      <c r="C319" s="2" t="s">
        <v>513</v>
      </c>
      <c r="D319" s="2" t="s">
        <v>517</v>
      </c>
      <c r="E319" s="2" t="s">
        <v>530</v>
      </c>
      <c r="F319" s="2" t="s">
        <v>606</v>
      </c>
      <c r="G319" s="2">
        <v>88.4</v>
      </c>
      <c r="H319" s="2">
        <v>2</v>
      </c>
      <c r="I319" s="5">
        <v>19.170000000000002</v>
      </c>
      <c r="J319" s="7">
        <v>0.15</v>
      </c>
    </row>
    <row r="320" spans="1:10" x14ac:dyDescent="0.35">
      <c r="A320" s="2" t="s">
        <v>328</v>
      </c>
      <c r="B320" s="3">
        <v>45815</v>
      </c>
      <c r="C320" s="2" t="s">
        <v>512</v>
      </c>
      <c r="D320" s="2" t="s">
        <v>517</v>
      </c>
      <c r="E320" s="2" t="s">
        <v>534</v>
      </c>
      <c r="F320" s="2" t="s">
        <v>570</v>
      </c>
      <c r="G320" s="2">
        <v>780</v>
      </c>
      <c r="H320" s="2">
        <v>3</v>
      </c>
      <c r="I320" s="5">
        <v>235.38</v>
      </c>
      <c r="J320" s="7">
        <v>0</v>
      </c>
    </row>
    <row r="321" spans="1:10" x14ac:dyDescent="0.35">
      <c r="A321" s="2" t="s">
        <v>329</v>
      </c>
      <c r="B321" s="3">
        <v>45689</v>
      </c>
      <c r="C321" s="2" t="s">
        <v>513</v>
      </c>
      <c r="D321" s="2" t="s">
        <v>516</v>
      </c>
      <c r="E321" s="2" t="s">
        <v>523</v>
      </c>
      <c r="F321" s="2" t="s">
        <v>593</v>
      </c>
      <c r="G321" s="2">
        <v>4330</v>
      </c>
      <c r="H321" s="2">
        <v>5</v>
      </c>
      <c r="I321" s="5">
        <v>1106.99</v>
      </c>
      <c r="J321" s="7">
        <v>0</v>
      </c>
    </row>
    <row r="322" spans="1:10" x14ac:dyDescent="0.35">
      <c r="A322" s="2" t="s">
        <v>330</v>
      </c>
      <c r="B322" s="3">
        <v>45710</v>
      </c>
      <c r="C322" s="2" t="s">
        <v>511</v>
      </c>
      <c r="D322" s="2" t="s">
        <v>517</v>
      </c>
      <c r="E322" s="2" t="s">
        <v>530</v>
      </c>
      <c r="F322" s="2" t="s">
        <v>592</v>
      </c>
      <c r="G322" s="2">
        <v>1065.9000000000001</v>
      </c>
      <c r="H322" s="2">
        <v>6</v>
      </c>
      <c r="I322" s="5">
        <v>274.18</v>
      </c>
      <c r="J322" s="7">
        <v>0.05</v>
      </c>
    </row>
    <row r="323" spans="1:10" x14ac:dyDescent="0.35">
      <c r="A323" s="2" t="s">
        <v>331</v>
      </c>
      <c r="B323" s="3">
        <v>45947</v>
      </c>
      <c r="C323" s="2" t="s">
        <v>513</v>
      </c>
      <c r="D323" s="2" t="s">
        <v>517</v>
      </c>
      <c r="E323" s="2" t="s">
        <v>522</v>
      </c>
      <c r="F323" s="2" t="s">
        <v>664</v>
      </c>
      <c r="G323" s="2">
        <v>1622.6</v>
      </c>
      <c r="H323" s="2">
        <v>7</v>
      </c>
      <c r="I323" s="5">
        <v>554.29999999999995</v>
      </c>
      <c r="J323" s="7">
        <v>0.05</v>
      </c>
    </row>
    <row r="324" spans="1:10" x14ac:dyDescent="0.35">
      <c r="A324" s="2" t="s">
        <v>332</v>
      </c>
      <c r="B324" s="3">
        <v>45811</v>
      </c>
      <c r="C324" s="2" t="s">
        <v>513</v>
      </c>
      <c r="D324" s="2" t="s">
        <v>515</v>
      </c>
      <c r="E324" s="2" t="s">
        <v>526</v>
      </c>
      <c r="F324" s="2" t="s">
        <v>551</v>
      </c>
      <c r="G324" s="2">
        <v>93</v>
      </c>
      <c r="H324" s="2">
        <v>1</v>
      </c>
      <c r="I324" s="5">
        <v>29.02</v>
      </c>
      <c r="J324" s="7">
        <v>0</v>
      </c>
    </row>
    <row r="325" spans="1:10" x14ac:dyDescent="0.35">
      <c r="A325" s="2" t="s">
        <v>333</v>
      </c>
      <c r="B325" s="3">
        <v>45977</v>
      </c>
      <c r="C325" s="2" t="s">
        <v>512</v>
      </c>
      <c r="D325" s="2" t="s">
        <v>517</v>
      </c>
      <c r="E325" s="2" t="s">
        <v>522</v>
      </c>
      <c r="F325" s="2" t="s">
        <v>665</v>
      </c>
      <c r="G325" s="2">
        <v>127</v>
      </c>
      <c r="H325" s="2">
        <v>1</v>
      </c>
      <c r="I325" s="5">
        <v>45.48</v>
      </c>
      <c r="J325" s="7">
        <v>0</v>
      </c>
    </row>
    <row r="326" spans="1:10" x14ac:dyDescent="0.35">
      <c r="A326" s="2" t="s">
        <v>334</v>
      </c>
      <c r="B326" s="3">
        <v>45995</v>
      </c>
      <c r="C326" s="2" t="s">
        <v>510</v>
      </c>
      <c r="D326" s="2" t="s">
        <v>516</v>
      </c>
      <c r="E326" s="2" t="s">
        <v>525</v>
      </c>
      <c r="F326" s="2" t="s">
        <v>618</v>
      </c>
      <c r="G326" s="2">
        <v>1881.9</v>
      </c>
      <c r="H326" s="2">
        <v>3</v>
      </c>
      <c r="I326" s="5">
        <v>556.30999999999995</v>
      </c>
      <c r="J326" s="7">
        <v>0.15</v>
      </c>
    </row>
    <row r="327" spans="1:10" x14ac:dyDescent="0.35">
      <c r="A327" s="2" t="s">
        <v>335</v>
      </c>
      <c r="B327" s="3">
        <v>45843</v>
      </c>
      <c r="C327" s="2" t="s">
        <v>510</v>
      </c>
      <c r="D327" s="2" t="s">
        <v>516</v>
      </c>
      <c r="E327" s="2" t="s">
        <v>523</v>
      </c>
      <c r="F327" s="2" t="s">
        <v>569</v>
      </c>
      <c r="G327" s="2">
        <v>249.3</v>
      </c>
      <c r="H327" s="2">
        <v>1</v>
      </c>
      <c r="I327" s="5">
        <v>106.17</v>
      </c>
      <c r="J327" s="7">
        <v>0.1</v>
      </c>
    </row>
    <row r="328" spans="1:10" x14ac:dyDescent="0.35">
      <c r="A328" s="2" t="s">
        <v>336</v>
      </c>
      <c r="B328" s="3">
        <v>46021</v>
      </c>
      <c r="C328" s="2" t="s">
        <v>510</v>
      </c>
      <c r="D328" s="2" t="s">
        <v>515</v>
      </c>
      <c r="E328" s="2" t="s">
        <v>528</v>
      </c>
      <c r="F328" s="2" t="s">
        <v>620</v>
      </c>
      <c r="G328" s="2">
        <v>912.8</v>
      </c>
      <c r="H328" s="2">
        <v>7</v>
      </c>
      <c r="I328" s="5">
        <v>172.67</v>
      </c>
      <c r="J328" s="7">
        <v>0.2</v>
      </c>
    </row>
    <row r="329" spans="1:10" x14ac:dyDescent="0.35">
      <c r="A329" s="2" t="s">
        <v>337</v>
      </c>
      <c r="B329" s="3">
        <v>45950</v>
      </c>
      <c r="C329" s="2" t="s">
        <v>513</v>
      </c>
      <c r="D329" s="2" t="s">
        <v>518</v>
      </c>
      <c r="E329" s="2" t="s">
        <v>527</v>
      </c>
      <c r="F329" s="2" t="s">
        <v>561</v>
      </c>
      <c r="G329" s="2">
        <v>79.2</v>
      </c>
      <c r="H329" s="2">
        <v>1</v>
      </c>
      <c r="I329" s="5">
        <v>22.08</v>
      </c>
      <c r="J329" s="7">
        <v>0.1</v>
      </c>
    </row>
    <row r="330" spans="1:10" x14ac:dyDescent="0.35">
      <c r="A330" s="2" t="s">
        <v>338</v>
      </c>
      <c r="B330" s="3">
        <v>45884</v>
      </c>
      <c r="C330" s="2" t="s">
        <v>511</v>
      </c>
      <c r="D330" s="2" t="s">
        <v>516</v>
      </c>
      <c r="E330" s="2" t="s">
        <v>535</v>
      </c>
      <c r="F330" s="2" t="s">
        <v>585</v>
      </c>
      <c r="G330" s="2">
        <v>4116.3500000000004</v>
      </c>
      <c r="H330" s="2">
        <v>7</v>
      </c>
      <c r="I330" s="5">
        <v>1147.25</v>
      </c>
      <c r="J330" s="7">
        <v>0.05</v>
      </c>
    </row>
    <row r="331" spans="1:10" x14ac:dyDescent="0.35">
      <c r="A331" s="2" t="s">
        <v>339</v>
      </c>
      <c r="B331" s="3">
        <v>45986</v>
      </c>
      <c r="C331" s="2" t="s">
        <v>513</v>
      </c>
      <c r="D331" s="2" t="s">
        <v>518</v>
      </c>
      <c r="E331" s="2" t="s">
        <v>527</v>
      </c>
      <c r="F331" s="2" t="s">
        <v>560</v>
      </c>
      <c r="G331" s="2">
        <v>33.25</v>
      </c>
      <c r="H331" s="2">
        <v>1</v>
      </c>
      <c r="I331" s="5">
        <v>13.06</v>
      </c>
      <c r="J331" s="7">
        <v>0.05</v>
      </c>
    </row>
    <row r="332" spans="1:10" x14ac:dyDescent="0.35">
      <c r="A332" s="2" t="s">
        <v>340</v>
      </c>
      <c r="B332" s="3">
        <v>45873</v>
      </c>
      <c r="C332" s="2" t="s">
        <v>511</v>
      </c>
      <c r="D332" s="2" t="s">
        <v>518</v>
      </c>
      <c r="E332" s="2" t="s">
        <v>532</v>
      </c>
      <c r="F332" s="2" t="s">
        <v>623</v>
      </c>
      <c r="G332" s="2">
        <v>39.200000000000003</v>
      </c>
      <c r="H332" s="2">
        <v>1</v>
      </c>
      <c r="I332" s="5">
        <v>14.51</v>
      </c>
      <c r="J332" s="7">
        <v>0.2</v>
      </c>
    </row>
    <row r="333" spans="1:10" x14ac:dyDescent="0.35">
      <c r="A333" s="2" t="s">
        <v>341</v>
      </c>
      <c r="B333" s="3">
        <v>45909</v>
      </c>
      <c r="C333" s="2" t="s">
        <v>510</v>
      </c>
      <c r="D333" s="2" t="s">
        <v>518</v>
      </c>
      <c r="E333" s="2" t="s">
        <v>532</v>
      </c>
      <c r="F333" s="2" t="s">
        <v>570</v>
      </c>
      <c r="G333" s="2">
        <v>96</v>
      </c>
      <c r="H333" s="2">
        <v>3</v>
      </c>
      <c r="I333" s="5">
        <v>20.13</v>
      </c>
      <c r="J333" s="7">
        <v>0</v>
      </c>
    </row>
    <row r="334" spans="1:10" x14ac:dyDescent="0.35">
      <c r="A334" s="2" t="s">
        <v>342</v>
      </c>
      <c r="B334" s="3">
        <v>45670</v>
      </c>
      <c r="C334" s="2" t="s">
        <v>512</v>
      </c>
      <c r="D334" s="2" t="s">
        <v>516</v>
      </c>
      <c r="E334" s="2" t="s">
        <v>525</v>
      </c>
      <c r="F334" s="2" t="s">
        <v>666</v>
      </c>
      <c r="G334" s="2">
        <v>638.4</v>
      </c>
      <c r="H334" s="2">
        <v>6</v>
      </c>
      <c r="I334" s="5">
        <v>168.68</v>
      </c>
      <c r="J334" s="7">
        <v>0.2</v>
      </c>
    </row>
    <row r="335" spans="1:10" x14ac:dyDescent="0.35">
      <c r="A335" s="2" t="s">
        <v>343</v>
      </c>
      <c r="B335" s="3">
        <v>45674</v>
      </c>
      <c r="C335" s="2" t="s">
        <v>511</v>
      </c>
      <c r="D335" s="2" t="s">
        <v>518</v>
      </c>
      <c r="E335" s="2" t="s">
        <v>532</v>
      </c>
      <c r="F335" s="2" t="s">
        <v>646</v>
      </c>
      <c r="G335" s="2">
        <v>156.6</v>
      </c>
      <c r="H335" s="2">
        <v>6</v>
      </c>
      <c r="I335" s="5">
        <v>53.38</v>
      </c>
      <c r="J335" s="7">
        <v>0.1</v>
      </c>
    </row>
    <row r="336" spans="1:10" x14ac:dyDescent="0.35">
      <c r="A336" s="2" t="s">
        <v>344</v>
      </c>
      <c r="B336" s="3">
        <v>45997</v>
      </c>
      <c r="C336" s="2" t="s">
        <v>510</v>
      </c>
      <c r="D336" s="2" t="s">
        <v>518</v>
      </c>
      <c r="E336" s="2" t="s">
        <v>531</v>
      </c>
      <c r="F336" s="2" t="s">
        <v>656</v>
      </c>
      <c r="G336" s="2">
        <v>182.4</v>
      </c>
      <c r="H336" s="2">
        <v>3</v>
      </c>
      <c r="I336" s="5">
        <v>48.71</v>
      </c>
      <c r="J336" s="7">
        <v>0.05</v>
      </c>
    </row>
    <row r="337" spans="1:10" x14ac:dyDescent="0.35">
      <c r="A337" s="2" t="s">
        <v>345</v>
      </c>
      <c r="B337" s="3">
        <v>45879</v>
      </c>
      <c r="C337" s="2" t="s">
        <v>512</v>
      </c>
      <c r="D337" s="2" t="s">
        <v>515</v>
      </c>
      <c r="E337" s="2" t="s">
        <v>528</v>
      </c>
      <c r="F337" s="2" t="s">
        <v>667</v>
      </c>
      <c r="G337" s="2">
        <v>155.80000000000001</v>
      </c>
      <c r="H337" s="2">
        <v>4</v>
      </c>
      <c r="I337" s="5">
        <v>37.71</v>
      </c>
      <c r="J337" s="7">
        <v>0.05</v>
      </c>
    </row>
    <row r="338" spans="1:10" x14ac:dyDescent="0.35">
      <c r="A338" s="2" t="s">
        <v>346</v>
      </c>
      <c r="B338" s="3">
        <v>45669</v>
      </c>
      <c r="C338" s="2" t="s">
        <v>511</v>
      </c>
      <c r="D338" s="2" t="s">
        <v>515</v>
      </c>
      <c r="E338" s="2" t="s">
        <v>520</v>
      </c>
      <c r="F338" s="2" t="s">
        <v>655</v>
      </c>
      <c r="G338" s="2">
        <v>293.25</v>
      </c>
      <c r="H338" s="2">
        <v>5</v>
      </c>
      <c r="I338" s="5">
        <v>81.14</v>
      </c>
      <c r="J338" s="7">
        <v>0.15</v>
      </c>
    </row>
    <row r="339" spans="1:10" x14ac:dyDescent="0.35">
      <c r="A339" s="2" t="s">
        <v>347</v>
      </c>
      <c r="B339" s="3">
        <v>45921</v>
      </c>
      <c r="C339" s="2" t="s">
        <v>512</v>
      </c>
      <c r="D339" s="2" t="s">
        <v>516</v>
      </c>
      <c r="E339" s="2" t="s">
        <v>521</v>
      </c>
      <c r="F339" s="2" t="s">
        <v>548</v>
      </c>
      <c r="G339" s="2">
        <v>3630</v>
      </c>
      <c r="H339" s="2">
        <v>5</v>
      </c>
      <c r="I339" s="5">
        <v>1097.42</v>
      </c>
      <c r="J339" s="7">
        <v>0</v>
      </c>
    </row>
    <row r="340" spans="1:10" x14ac:dyDescent="0.35">
      <c r="A340" s="2" t="s">
        <v>348</v>
      </c>
      <c r="B340" s="3">
        <v>45862</v>
      </c>
      <c r="C340" s="2" t="s">
        <v>510</v>
      </c>
      <c r="D340" s="2" t="s">
        <v>517</v>
      </c>
      <c r="E340" s="2" t="s">
        <v>534</v>
      </c>
      <c r="F340" s="2" t="s">
        <v>542</v>
      </c>
      <c r="G340" s="2">
        <v>889.2</v>
      </c>
      <c r="H340" s="2">
        <v>4</v>
      </c>
      <c r="I340" s="5">
        <v>255.3</v>
      </c>
      <c r="J340" s="7">
        <v>0.05</v>
      </c>
    </row>
    <row r="341" spans="1:10" x14ac:dyDescent="0.35">
      <c r="A341" s="2" t="s">
        <v>349</v>
      </c>
      <c r="B341" s="3">
        <v>45988</v>
      </c>
      <c r="C341" s="2" t="s">
        <v>510</v>
      </c>
      <c r="D341" s="2" t="s">
        <v>515</v>
      </c>
      <c r="E341" s="2" t="s">
        <v>520</v>
      </c>
      <c r="F341" s="2" t="s">
        <v>615</v>
      </c>
      <c r="G341" s="2">
        <v>188.8</v>
      </c>
      <c r="H341" s="2">
        <v>2</v>
      </c>
      <c r="I341" s="5">
        <v>57.91</v>
      </c>
      <c r="J341" s="7">
        <v>0.2</v>
      </c>
    </row>
    <row r="342" spans="1:10" x14ac:dyDescent="0.35">
      <c r="A342" s="2" t="s">
        <v>350</v>
      </c>
      <c r="B342" s="3">
        <v>45682</v>
      </c>
      <c r="C342" s="2" t="s">
        <v>513</v>
      </c>
      <c r="D342" s="2" t="s">
        <v>518</v>
      </c>
      <c r="E342" s="2" t="s">
        <v>532</v>
      </c>
      <c r="F342" s="2" t="s">
        <v>548</v>
      </c>
      <c r="G342" s="2">
        <v>71.25</v>
      </c>
      <c r="H342" s="2">
        <v>1</v>
      </c>
      <c r="I342" s="5">
        <v>14.82</v>
      </c>
      <c r="J342" s="7">
        <v>0.05</v>
      </c>
    </row>
    <row r="343" spans="1:10" x14ac:dyDescent="0.35">
      <c r="A343" s="2" t="s">
        <v>351</v>
      </c>
      <c r="B343" s="3">
        <v>45978</v>
      </c>
      <c r="C343" s="2" t="s">
        <v>512</v>
      </c>
      <c r="D343" s="2" t="s">
        <v>515</v>
      </c>
      <c r="E343" s="2" t="s">
        <v>526</v>
      </c>
      <c r="F343" s="2" t="s">
        <v>668</v>
      </c>
      <c r="G343" s="2">
        <v>501.5</v>
      </c>
      <c r="H343" s="2">
        <v>5</v>
      </c>
      <c r="I343" s="5">
        <v>138.63</v>
      </c>
      <c r="J343" s="7">
        <v>0.15</v>
      </c>
    </row>
    <row r="344" spans="1:10" x14ac:dyDescent="0.35">
      <c r="A344" s="2" t="s">
        <v>352</v>
      </c>
      <c r="B344" s="3">
        <v>45939</v>
      </c>
      <c r="C344" s="2" t="s">
        <v>512</v>
      </c>
      <c r="D344" s="2" t="s">
        <v>517</v>
      </c>
      <c r="E344" s="2" t="s">
        <v>530</v>
      </c>
      <c r="F344" s="2" t="s">
        <v>609</v>
      </c>
      <c r="G344" s="2">
        <v>576</v>
      </c>
      <c r="H344" s="2">
        <v>6</v>
      </c>
      <c r="I344" s="5">
        <v>151.88999999999999</v>
      </c>
      <c r="J344" s="7">
        <v>0</v>
      </c>
    </row>
    <row r="345" spans="1:10" x14ac:dyDescent="0.35">
      <c r="A345" s="2" t="s">
        <v>353</v>
      </c>
      <c r="B345" s="3">
        <v>45883</v>
      </c>
      <c r="C345" s="2" t="s">
        <v>510</v>
      </c>
      <c r="D345" s="2" t="s">
        <v>516</v>
      </c>
      <c r="E345" s="2" t="s">
        <v>521</v>
      </c>
      <c r="F345" s="2" t="s">
        <v>595</v>
      </c>
      <c r="G345" s="2">
        <v>1672</v>
      </c>
      <c r="H345" s="2">
        <v>4</v>
      </c>
      <c r="I345" s="5">
        <v>616.1</v>
      </c>
      <c r="J345" s="7">
        <v>0.05</v>
      </c>
    </row>
    <row r="346" spans="1:10" x14ac:dyDescent="0.35">
      <c r="A346" s="2" t="s">
        <v>354</v>
      </c>
      <c r="B346" s="3">
        <v>45959</v>
      </c>
      <c r="C346" s="2" t="s">
        <v>512</v>
      </c>
      <c r="D346" s="2" t="s">
        <v>517</v>
      </c>
      <c r="E346" s="2" t="s">
        <v>529</v>
      </c>
      <c r="F346" s="2" t="s">
        <v>602</v>
      </c>
      <c r="G346" s="2">
        <v>2445.3000000000002</v>
      </c>
      <c r="H346" s="2">
        <v>6</v>
      </c>
      <c r="I346" s="5">
        <v>739.33</v>
      </c>
      <c r="J346" s="7">
        <v>0.05</v>
      </c>
    </row>
    <row r="347" spans="1:10" x14ac:dyDescent="0.35">
      <c r="A347" s="2" t="s">
        <v>355</v>
      </c>
      <c r="B347" s="3">
        <v>45990</v>
      </c>
      <c r="C347" s="2" t="s">
        <v>513</v>
      </c>
      <c r="D347" s="2" t="s">
        <v>517</v>
      </c>
      <c r="E347" s="2" t="s">
        <v>522</v>
      </c>
      <c r="F347" s="2" t="s">
        <v>607</v>
      </c>
      <c r="G347" s="2">
        <v>2335</v>
      </c>
      <c r="H347" s="2">
        <v>5</v>
      </c>
      <c r="I347" s="5">
        <v>432.16</v>
      </c>
      <c r="J347" s="7">
        <v>0</v>
      </c>
    </row>
    <row r="348" spans="1:10" x14ac:dyDescent="0.35">
      <c r="A348" s="2" t="s">
        <v>356</v>
      </c>
      <c r="B348" s="3">
        <v>45841</v>
      </c>
      <c r="C348" s="2" t="s">
        <v>511</v>
      </c>
      <c r="D348" s="2" t="s">
        <v>515</v>
      </c>
      <c r="E348" s="2" t="s">
        <v>520</v>
      </c>
      <c r="F348" s="2" t="s">
        <v>557</v>
      </c>
      <c r="G348" s="2">
        <v>108</v>
      </c>
      <c r="H348" s="2">
        <v>4</v>
      </c>
      <c r="I348" s="5">
        <v>34.07</v>
      </c>
      <c r="J348" s="7">
        <v>0.1</v>
      </c>
    </row>
    <row r="349" spans="1:10" x14ac:dyDescent="0.35">
      <c r="A349" s="2" t="s">
        <v>357</v>
      </c>
      <c r="B349" s="3">
        <v>46015</v>
      </c>
      <c r="C349" s="2" t="s">
        <v>513</v>
      </c>
      <c r="D349" s="2" t="s">
        <v>517</v>
      </c>
      <c r="E349" s="2" t="s">
        <v>529</v>
      </c>
      <c r="F349" s="2" t="s">
        <v>667</v>
      </c>
      <c r="G349" s="2">
        <v>1425.6</v>
      </c>
      <c r="H349" s="2">
        <v>4</v>
      </c>
      <c r="I349" s="5">
        <v>573.74</v>
      </c>
      <c r="J349" s="7">
        <v>0.1</v>
      </c>
    </row>
    <row r="350" spans="1:10" x14ac:dyDescent="0.35">
      <c r="A350" s="2" t="s">
        <v>358</v>
      </c>
      <c r="B350" s="3">
        <v>45993</v>
      </c>
      <c r="C350" s="2" t="s">
        <v>513</v>
      </c>
      <c r="D350" s="2" t="s">
        <v>518</v>
      </c>
      <c r="E350" s="2" t="s">
        <v>524</v>
      </c>
      <c r="F350" s="2" t="s">
        <v>567</v>
      </c>
      <c r="G350" s="2">
        <v>56.7</v>
      </c>
      <c r="H350" s="2">
        <v>3</v>
      </c>
      <c r="I350" s="5">
        <v>19.46</v>
      </c>
      <c r="J350" s="7">
        <v>0.1</v>
      </c>
    </row>
    <row r="351" spans="1:10" x14ac:dyDescent="0.35">
      <c r="A351" s="2" t="s">
        <v>359</v>
      </c>
      <c r="B351" s="3">
        <v>45745</v>
      </c>
      <c r="C351" s="2" t="s">
        <v>513</v>
      </c>
      <c r="D351" s="2" t="s">
        <v>516</v>
      </c>
      <c r="E351" s="2" t="s">
        <v>535</v>
      </c>
      <c r="F351" s="2" t="s">
        <v>580</v>
      </c>
      <c r="G351" s="2">
        <v>2586</v>
      </c>
      <c r="H351" s="2">
        <v>6</v>
      </c>
      <c r="I351" s="5">
        <v>1050.0999999999999</v>
      </c>
      <c r="J351" s="7">
        <v>0</v>
      </c>
    </row>
    <row r="352" spans="1:10" x14ac:dyDescent="0.35">
      <c r="A352" s="2" t="s">
        <v>360</v>
      </c>
      <c r="B352" s="3">
        <v>45813</v>
      </c>
      <c r="C352" s="2" t="s">
        <v>513</v>
      </c>
      <c r="D352" s="2" t="s">
        <v>516</v>
      </c>
      <c r="E352" s="2" t="s">
        <v>535</v>
      </c>
      <c r="F352" s="2" t="s">
        <v>559</v>
      </c>
      <c r="G352" s="2">
        <v>691.2</v>
      </c>
      <c r="H352" s="2">
        <v>4</v>
      </c>
      <c r="I352" s="5">
        <v>240.69</v>
      </c>
      <c r="J352" s="7">
        <v>0.2</v>
      </c>
    </row>
    <row r="353" spans="1:10" x14ac:dyDescent="0.35">
      <c r="A353" s="2" t="s">
        <v>361</v>
      </c>
      <c r="B353" s="3">
        <v>45830</v>
      </c>
      <c r="C353" s="2" t="s">
        <v>513</v>
      </c>
      <c r="D353" s="2" t="s">
        <v>517</v>
      </c>
      <c r="E353" s="2" t="s">
        <v>534</v>
      </c>
      <c r="F353" s="2" t="s">
        <v>558</v>
      </c>
      <c r="G353" s="2">
        <v>378</v>
      </c>
      <c r="H353" s="2">
        <v>3</v>
      </c>
      <c r="I353" s="5">
        <v>78.790000000000006</v>
      </c>
      <c r="J353" s="7">
        <v>0.1</v>
      </c>
    </row>
    <row r="354" spans="1:10" x14ac:dyDescent="0.35">
      <c r="A354" s="2" t="s">
        <v>362</v>
      </c>
      <c r="B354" s="3">
        <v>45898</v>
      </c>
      <c r="C354" s="2" t="s">
        <v>510</v>
      </c>
      <c r="D354" s="2" t="s">
        <v>517</v>
      </c>
      <c r="E354" s="2" t="s">
        <v>530</v>
      </c>
      <c r="F354" s="2" t="s">
        <v>555</v>
      </c>
      <c r="G354" s="2">
        <v>511</v>
      </c>
      <c r="H354" s="2">
        <v>7</v>
      </c>
      <c r="I354" s="5">
        <v>124.95</v>
      </c>
      <c r="J354" s="7">
        <v>0</v>
      </c>
    </row>
    <row r="355" spans="1:10" x14ac:dyDescent="0.35">
      <c r="A355" s="2" t="s">
        <v>363</v>
      </c>
      <c r="B355" s="3">
        <v>45931</v>
      </c>
      <c r="C355" s="2" t="s">
        <v>512</v>
      </c>
      <c r="D355" s="2" t="s">
        <v>516</v>
      </c>
      <c r="E355" s="2" t="s">
        <v>535</v>
      </c>
      <c r="F355" s="2" t="s">
        <v>646</v>
      </c>
      <c r="G355" s="2">
        <v>1966.5</v>
      </c>
      <c r="H355" s="2">
        <v>3</v>
      </c>
      <c r="I355" s="5">
        <v>695.31</v>
      </c>
      <c r="J355" s="7">
        <v>0.05</v>
      </c>
    </row>
    <row r="356" spans="1:10" x14ac:dyDescent="0.35">
      <c r="A356" s="2" t="s">
        <v>364</v>
      </c>
      <c r="B356" s="3">
        <v>45811</v>
      </c>
      <c r="C356" s="2" t="s">
        <v>512</v>
      </c>
      <c r="D356" s="2" t="s">
        <v>516</v>
      </c>
      <c r="E356" s="2" t="s">
        <v>521</v>
      </c>
      <c r="F356" s="2" t="s">
        <v>555</v>
      </c>
      <c r="G356" s="2">
        <v>807.5</v>
      </c>
      <c r="H356" s="2">
        <v>5</v>
      </c>
      <c r="I356" s="5">
        <v>166.66</v>
      </c>
      <c r="J356" s="7">
        <v>0.05</v>
      </c>
    </row>
    <row r="357" spans="1:10" x14ac:dyDescent="0.35">
      <c r="A357" s="2" t="s">
        <v>365</v>
      </c>
      <c r="B357" s="3">
        <v>45935</v>
      </c>
      <c r="C357" s="2" t="s">
        <v>513</v>
      </c>
      <c r="D357" s="2" t="s">
        <v>518</v>
      </c>
      <c r="E357" s="2" t="s">
        <v>527</v>
      </c>
      <c r="F357" s="2" t="s">
        <v>669</v>
      </c>
      <c r="G357" s="2">
        <v>17.100000000000001</v>
      </c>
      <c r="H357" s="2">
        <v>2</v>
      </c>
      <c r="I357" s="5">
        <v>3.28</v>
      </c>
      <c r="J357" s="7">
        <v>0.05</v>
      </c>
    </row>
    <row r="358" spans="1:10" x14ac:dyDescent="0.35">
      <c r="A358" s="2" t="s">
        <v>366</v>
      </c>
      <c r="B358" s="3">
        <v>45845</v>
      </c>
      <c r="C358" s="2" t="s">
        <v>510</v>
      </c>
      <c r="D358" s="2" t="s">
        <v>516</v>
      </c>
      <c r="E358" s="2" t="s">
        <v>521</v>
      </c>
      <c r="F358" s="2" t="s">
        <v>622</v>
      </c>
      <c r="G358" s="2">
        <v>1998</v>
      </c>
      <c r="H358" s="2">
        <v>3</v>
      </c>
      <c r="I358" s="5">
        <v>746.7</v>
      </c>
      <c r="J358" s="7">
        <v>0.1</v>
      </c>
    </row>
    <row r="359" spans="1:10" x14ac:dyDescent="0.35">
      <c r="A359" s="2" t="s">
        <v>367</v>
      </c>
      <c r="B359" s="3">
        <v>45741</v>
      </c>
      <c r="C359" s="2" t="s">
        <v>510</v>
      </c>
      <c r="D359" s="2" t="s">
        <v>515</v>
      </c>
      <c r="E359" s="2" t="s">
        <v>526</v>
      </c>
      <c r="F359" s="2" t="s">
        <v>646</v>
      </c>
      <c r="G359" s="2">
        <v>277.10000000000002</v>
      </c>
      <c r="H359" s="2">
        <v>2</v>
      </c>
      <c r="I359" s="5">
        <v>63.11</v>
      </c>
      <c r="J359" s="7">
        <v>0.15</v>
      </c>
    </row>
    <row r="360" spans="1:10" x14ac:dyDescent="0.35">
      <c r="A360" s="2" t="s">
        <v>368</v>
      </c>
      <c r="B360" s="3">
        <v>45981</v>
      </c>
      <c r="C360" s="2" t="s">
        <v>513</v>
      </c>
      <c r="D360" s="2" t="s">
        <v>516</v>
      </c>
      <c r="E360" s="2" t="s">
        <v>525</v>
      </c>
      <c r="F360" s="2" t="s">
        <v>538</v>
      </c>
      <c r="G360" s="2">
        <v>379.95</v>
      </c>
      <c r="H360" s="2">
        <v>1</v>
      </c>
      <c r="I360" s="5">
        <v>105.73</v>
      </c>
      <c r="J360" s="7">
        <v>0.15</v>
      </c>
    </row>
    <row r="361" spans="1:10" x14ac:dyDescent="0.35">
      <c r="A361" s="2" t="s">
        <v>369</v>
      </c>
      <c r="B361" s="3">
        <v>45681</v>
      </c>
      <c r="C361" s="2" t="s">
        <v>511</v>
      </c>
      <c r="D361" s="2" t="s">
        <v>515</v>
      </c>
      <c r="E361" s="2" t="s">
        <v>528</v>
      </c>
      <c r="F361" s="2" t="s">
        <v>670</v>
      </c>
      <c r="G361" s="2">
        <v>30.4</v>
      </c>
      <c r="H361" s="2">
        <v>1</v>
      </c>
      <c r="I361" s="5">
        <v>7.71</v>
      </c>
      <c r="J361" s="7">
        <v>0.2</v>
      </c>
    </row>
    <row r="362" spans="1:10" x14ac:dyDescent="0.35">
      <c r="A362" s="2" t="s">
        <v>370</v>
      </c>
      <c r="B362" s="3">
        <v>45911</v>
      </c>
      <c r="C362" s="2" t="s">
        <v>512</v>
      </c>
      <c r="D362" s="2" t="s">
        <v>515</v>
      </c>
      <c r="E362" s="2" t="s">
        <v>533</v>
      </c>
      <c r="F362" s="2" t="s">
        <v>603</v>
      </c>
      <c r="G362" s="2">
        <v>104</v>
      </c>
      <c r="H362" s="2">
        <v>1</v>
      </c>
      <c r="I362" s="5">
        <v>45.75</v>
      </c>
      <c r="J362" s="7">
        <v>0.2</v>
      </c>
    </row>
    <row r="363" spans="1:10" x14ac:dyDescent="0.35">
      <c r="A363" s="2" t="s">
        <v>371</v>
      </c>
      <c r="B363" s="3">
        <v>45825</v>
      </c>
      <c r="C363" s="2" t="s">
        <v>510</v>
      </c>
      <c r="D363" s="2" t="s">
        <v>516</v>
      </c>
      <c r="E363" s="2" t="s">
        <v>525</v>
      </c>
      <c r="F363" s="2" t="s">
        <v>550</v>
      </c>
      <c r="G363" s="2">
        <v>3360</v>
      </c>
      <c r="H363" s="2">
        <v>5</v>
      </c>
      <c r="I363" s="5">
        <v>855.98</v>
      </c>
      <c r="J363" s="7">
        <v>0.2</v>
      </c>
    </row>
    <row r="364" spans="1:10" x14ac:dyDescent="0.35">
      <c r="A364" s="2" t="s">
        <v>372</v>
      </c>
      <c r="B364" s="3">
        <v>45695</v>
      </c>
      <c r="C364" s="2" t="s">
        <v>510</v>
      </c>
      <c r="D364" s="2" t="s">
        <v>517</v>
      </c>
      <c r="E364" s="2" t="s">
        <v>529</v>
      </c>
      <c r="F364" s="2" t="s">
        <v>588</v>
      </c>
      <c r="G364" s="2">
        <v>178.5</v>
      </c>
      <c r="H364" s="2">
        <v>5</v>
      </c>
      <c r="I364" s="5">
        <v>33.729999999999997</v>
      </c>
      <c r="J364" s="7">
        <v>0.15</v>
      </c>
    </row>
    <row r="365" spans="1:10" x14ac:dyDescent="0.35">
      <c r="A365" s="2" t="s">
        <v>373</v>
      </c>
      <c r="B365" s="3">
        <v>45842</v>
      </c>
      <c r="C365" s="2" t="s">
        <v>513</v>
      </c>
      <c r="D365" s="2" t="s">
        <v>515</v>
      </c>
      <c r="E365" s="2" t="s">
        <v>533</v>
      </c>
      <c r="F365" s="2" t="s">
        <v>631</v>
      </c>
      <c r="G365" s="2">
        <v>207</v>
      </c>
      <c r="H365" s="2">
        <v>2</v>
      </c>
      <c r="I365" s="5">
        <v>77.98</v>
      </c>
      <c r="J365" s="7">
        <v>0.1</v>
      </c>
    </row>
    <row r="366" spans="1:10" x14ac:dyDescent="0.35">
      <c r="A366" s="2" t="s">
        <v>374</v>
      </c>
      <c r="B366" s="3">
        <v>45929</v>
      </c>
      <c r="C366" s="2" t="s">
        <v>510</v>
      </c>
      <c r="D366" s="2" t="s">
        <v>515</v>
      </c>
      <c r="E366" s="2" t="s">
        <v>533</v>
      </c>
      <c r="F366" s="2" t="s">
        <v>641</v>
      </c>
      <c r="G366" s="2">
        <v>115.2</v>
      </c>
      <c r="H366" s="2">
        <v>4</v>
      </c>
      <c r="I366" s="5">
        <v>47.19</v>
      </c>
      <c r="J366" s="7">
        <v>0.2</v>
      </c>
    </row>
    <row r="367" spans="1:10" x14ac:dyDescent="0.35">
      <c r="A367" s="2" t="s">
        <v>375</v>
      </c>
      <c r="B367" s="3">
        <v>45871</v>
      </c>
      <c r="C367" s="2" t="s">
        <v>512</v>
      </c>
      <c r="D367" s="2" t="s">
        <v>517</v>
      </c>
      <c r="E367" s="2" t="s">
        <v>522</v>
      </c>
      <c r="F367" s="2" t="s">
        <v>620</v>
      </c>
      <c r="G367" s="2">
        <v>793.8</v>
      </c>
      <c r="H367" s="2">
        <v>3</v>
      </c>
      <c r="I367" s="5">
        <v>222.52</v>
      </c>
      <c r="J367" s="7">
        <v>0.1</v>
      </c>
    </row>
    <row r="368" spans="1:10" x14ac:dyDescent="0.35">
      <c r="A368" s="2" t="s">
        <v>376</v>
      </c>
      <c r="B368" s="3">
        <v>45978</v>
      </c>
      <c r="C368" s="2" t="s">
        <v>510</v>
      </c>
      <c r="D368" s="2" t="s">
        <v>518</v>
      </c>
      <c r="E368" s="2" t="s">
        <v>524</v>
      </c>
      <c r="F368" s="2" t="s">
        <v>618</v>
      </c>
      <c r="G368" s="2">
        <v>80</v>
      </c>
      <c r="H368" s="2">
        <v>4</v>
      </c>
      <c r="I368" s="5">
        <v>33.79</v>
      </c>
      <c r="J368" s="7">
        <v>0.2</v>
      </c>
    </row>
    <row r="369" spans="1:10" x14ac:dyDescent="0.35">
      <c r="A369" s="2" t="s">
        <v>377</v>
      </c>
      <c r="B369" s="3">
        <v>45824</v>
      </c>
      <c r="C369" s="2" t="s">
        <v>512</v>
      </c>
      <c r="D369" s="2" t="s">
        <v>518</v>
      </c>
      <c r="E369" s="2" t="s">
        <v>531</v>
      </c>
      <c r="F369" s="2" t="s">
        <v>572</v>
      </c>
      <c r="G369" s="2">
        <v>17.100000000000001</v>
      </c>
      <c r="H369" s="2">
        <v>1</v>
      </c>
      <c r="I369" s="5">
        <v>3.99</v>
      </c>
      <c r="J369" s="7">
        <v>0.1</v>
      </c>
    </row>
    <row r="370" spans="1:10" x14ac:dyDescent="0.35">
      <c r="A370" s="2" t="s">
        <v>378</v>
      </c>
      <c r="B370" s="3">
        <v>45660</v>
      </c>
      <c r="C370" s="2" t="s">
        <v>512</v>
      </c>
      <c r="D370" s="2" t="s">
        <v>516</v>
      </c>
      <c r="E370" s="2" t="s">
        <v>525</v>
      </c>
      <c r="F370" s="2" t="s">
        <v>543</v>
      </c>
      <c r="G370" s="2">
        <v>1431.4</v>
      </c>
      <c r="H370" s="2">
        <v>2</v>
      </c>
      <c r="I370" s="5">
        <v>265.95</v>
      </c>
      <c r="J370" s="7">
        <v>0.15</v>
      </c>
    </row>
    <row r="371" spans="1:10" x14ac:dyDescent="0.35">
      <c r="A371" s="2" t="s">
        <v>379</v>
      </c>
      <c r="B371" s="3">
        <v>45757</v>
      </c>
      <c r="C371" s="2" t="s">
        <v>511</v>
      </c>
      <c r="D371" s="2" t="s">
        <v>516</v>
      </c>
      <c r="E371" s="2" t="s">
        <v>521</v>
      </c>
      <c r="F371" s="2" t="s">
        <v>551</v>
      </c>
      <c r="G371" s="2">
        <v>1184.4000000000001</v>
      </c>
      <c r="H371" s="2">
        <v>7</v>
      </c>
      <c r="I371" s="5">
        <v>378.68</v>
      </c>
      <c r="J371" s="7">
        <v>0.1</v>
      </c>
    </row>
    <row r="372" spans="1:10" x14ac:dyDescent="0.35">
      <c r="A372" s="2" t="s">
        <v>380</v>
      </c>
      <c r="B372" s="3">
        <v>45819</v>
      </c>
      <c r="C372" s="2" t="s">
        <v>512</v>
      </c>
      <c r="D372" s="2" t="s">
        <v>518</v>
      </c>
      <c r="E372" s="2" t="s">
        <v>524</v>
      </c>
      <c r="F372" s="2" t="s">
        <v>540</v>
      </c>
      <c r="G372" s="2">
        <v>74.099999999999994</v>
      </c>
      <c r="H372" s="2">
        <v>2</v>
      </c>
      <c r="I372" s="5">
        <v>21.02</v>
      </c>
      <c r="J372" s="7">
        <v>0.05</v>
      </c>
    </row>
    <row r="373" spans="1:10" x14ac:dyDescent="0.35">
      <c r="A373" s="2" t="s">
        <v>381</v>
      </c>
      <c r="B373" s="3">
        <v>45804</v>
      </c>
      <c r="C373" s="2" t="s">
        <v>511</v>
      </c>
      <c r="D373" s="2" t="s">
        <v>518</v>
      </c>
      <c r="E373" s="2" t="s">
        <v>527</v>
      </c>
      <c r="F373" s="2" t="s">
        <v>671</v>
      </c>
      <c r="G373" s="2">
        <v>336</v>
      </c>
      <c r="H373" s="2">
        <v>5</v>
      </c>
      <c r="I373" s="5">
        <v>63.97</v>
      </c>
      <c r="J373" s="7">
        <v>0.2</v>
      </c>
    </row>
    <row r="374" spans="1:10" x14ac:dyDescent="0.35">
      <c r="A374" s="2" t="s">
        <v>382</v>
      </c>
      <c r="B374" s="3">
        <v>45679</v>
      </c>
      <c r="C374" s="2" t="s">
        <v>510</v>
      </c>
      <c r="D374" s="2" t="s">
        <v>515</v>
      </c>
      <c r="E374" s="2" t="s">
        <v>526</v>
      </c>
      <c r="F374" s="2" t="s">
        <v>650</v>
      </c>
      <c r="G374" s="2">
        <v>185.3</v>
      </c>
      <c r="H374" s="2">
        <v>2</v>
      </c>
      <c r="I374" s="5">
        <v>68.87</v>
      </c>
      <c r="J374" s="7">
        <v>0.15</v>
      </c>
    </row>
    <row r="375" spans="1:10" x14ac:dyDescent="0.35">
      <c r="A375" s="2" t="s">
        <v>383</v>
      </c>
      <c r="B375" s="3">
        <v>45740</v>
      </c>
      <c r="C375" s="2" t="s">
        <v>510</v>
      </c>
      <c r="D375" s="2" t="s">
        <v>516</v>
      </c>
      <c r="E375" s="2" t="s">
        <v>521</v>
      </c>
      <c r="F375" s="2" t="s">
        <v>614</v>
      </c>
      <c r="G375" s="2">
        <v>1895.25</v>
      </c>
      <c r="H375" s="2">
        <v>7</v>
      </c>
      <c r="I375" s="5">
        <v>426.69</v>
      </c>
      <c r="J375" s="7">
        <v>0.05</v>
      </c>
    </row>
    <row r="376" spans="1:10" x14ac:dyDescent="0.35">
      <c r="A376" s="2" t="s">
        <v>384</v>
      </c>
      <c r="B376" s="3">
        <v>45754</v>
      </c>
      <c r="C376" s="2" t="s">
        <v>512</v>
      </c>
      <c r="D376" s="2" t="s">
        <v>518</v>
      </c>
      <c r="E376" s="2" t="s">
        <v>531</v>
      </c>
      <c r="F376" s="2" t="s">
        <v>650</v>
      </c>
      <c r="G376" s="2">
        <v>63.2</v>
      </c>
      <c r="H376" s="2">
        <v>1</v>
      </c>
      <c r="I376" s="5">
        <v>22.42</v>
      </c>
      <c r="J376" s="7">
        <v>0.2</v>
      </c>
    </row>
    <row r="377" spans="1:10" x14ac:dyDescent="0.35">
      <c r="A377" s="2" t="s">
        <v>385</v>
      </c>
      <c r="B377" s="3">
        <v>45676</v>
      </c>
      <c r="C377" s="2" t="s">
        <v>513</v>
      </c>
      <c r="D377" s="2" t="s">
        <v>518</v>
      </c>
      <c r="E377" s="2" t="s">
        <v>532</v>
      </c>
      <c r="F377" s="2" t="s">
        <v>631</v>
      </c>
      <c r="G377" s="2">
        <v>175.75</v>
      </c>
      <c r="H377" s="2">
        <v>5</v>
      </c>
      <c r="I377" s="5">
        <v>58.55</v>
      </c>
      <c r="J377" s="7">
        <v>0.05</v>
      </c>
    </row>
    <row r="378" spans="1:10" x14ac:dyDescent="0.35">
      <c r="A378" s="2" t="s">
        <v>386</v>
      </c>
      <c r="B378" s="3">
        <v>45736</v>
      </c>
      <c r="C378" s="2" t="s">
        <v>510</v>
      </c>
      <c r="D378" s="2" t="s">
        <v>517</v>
      </c>
      <c r="E378" s="2" t="s">
        <v>522</v>
      </c>
      <c r="F378" s="2" t="s">
        <v>541</v>
      </c>
      <c r="G378" s="2">
        <v>2921.45</v>
      </c>
      <c r="H378" s="2">
        <v>7</v>
      </c>
      <c r="I378" s="5">
        <v>785</v>
      </c>
      <c r="J378" s="7">
        <v>0.15</v>
      </c>
    </row>
    <row r="379" spans="1:10" x14ac:dyDescent="0.35">
      <c r="A379" s="2" t="s">
        <v>387</v>
      </c>
      <c r="B379" s="3">
        <v>46018</v>
      </c>
      <c r="C379" s="2" t="s">
        <v>512</v>
      </c>
      <c r="D379" s="2" t="s">
        <v>515</v>
      </c>
      <c r="E379" s="2" t="s">
        <v>526</v>
      </c>
      <c r="F379" s="2" t="s">
        <v>662</v>
      </c>
      <c r="G379" s="2">
        <v>923.4</v>
      </c>
      <c r="H379" s="2">
        <v>6</v>
      </c>
      <c r="I379" s="5">
        <v>180.85</v>
      </c>
      <c r="J379" s="7">
        <v>0.05</v>
      </c>
    </row>
    <row r="380" spans="1:10" x14ac:dyDescent="0.35">
      <c r="A380" s="2" t="s">
        <v>388</v>
      </c>
      <c r="B380" s="3">
        <v>45975</v>
      </c>
      <c r="C380" s="2" t="s">
        <v>512</v>
      </c>
      <c r="D380" s="2" t="s">
        <v>517</v>
      </c>
      <c r="E380" s="2" t="s">
        <v>522</v>
      </c>
      <c r="F380" s="2" t="s">
        <v>556</v>
      </c>
      <c r="G380" s="2">
        <v>266</v>
      </c>
      <c r="H380" s="2">
        <v>5</v>
      </c>
      <c r="I380" s="5">
        <v>111.56</v>
      </c>
      <c r="J380" s="7">
        <v>0.05</v>
      </c>
    </row>
    <row r="381" spans="1:10" x14ac:dyDescent="0.35">
      <c r="A381" s="2" t="s">
        <v>389</v>
      </c>
      <c r="B381" s="3">
        <v>45948</v>
      </c>
      <c r="C381" s="2" t="s">
        <v>511</v>
      </c>
      <c r="D381" s="2" t="s">
        <v>517</v>
      </c>
      <c r="E381" s="2" t="s">
        <v>530</v>
      </c>
      <c r="F381" s="2" t="s">
        <v>640</v>
      </c>
      <c r="G381" s="2">
        <v>205.2</v>
      </c>
      <c r="H381" s="2">
        <v>1</v>
      </c>
      <c r="I381" s="5">
        <v>63.71</v>
      </c>
      <c r="J381" s="7">
        <v>0.05</v>
      </c>
    </row>
    <row r="382" spans="1:10" x14ac:dyDescent="0.35">
      <c r="A382" s="2" t="s">
        <v>390</v>
      </c>
      <c r="B382" s="3">
        <v>45887</v>
      </c>
      <c r="C382" s="2" t="s">
        <v>511</v>
      </c>
      <c r="D382" s="2" t="s">
        <v>518</v>
      </c>
      <c r="E382" s="2" t="s">
        <v>524</v>
      </c>
      <c r="F382" s="2" t="s">
        <v>544</v>
      </c>
      <c r="G382" s="2">
        <v>84.6</v>
      </c>
      <c r="H382" s="2">
        <v>2</v>
      </c>
      <c r="I382" s="5">
        <v>36.340000000000003</v>
      </c>
      <c r="J382" s="7">
        <v>0.1</v>
      </c>
    </row>
    <row r="383" spans="1:10" x14ac:dyDescent="0.35">
      <c r="A383" s="2" t="s">
        <v>391</v>
      </c>
      <c r="B383" s="3">
        <v>45980</v>
      </c>
      <c r="C383" s="2" t="s">
        <v>513</v>
      </c>
      <c r="D383" s="2" t="s">
        <v>517</v>
      </c>
      <c r="E383" s="2" t="s">
        <v>530</v>
      </c>
      <c r="F383" s="2" t="s">
        <v>562</v>
      </c>
      <c r="G383" s="2">
        <v>393.6</v>
      </c>
      <c r="H383" s="2">
        <v>4</v>
      </c>
      <c r="I383" s="5">
        <v>175.51</v>
      </c>
      <c r="J383" s="7">
        <v>0.2</v>
      </c>
    </row>
    <row r="384" spans="1:10" x14ac:dyDescent="0.35">
      <c r="A384" s="2" t="s">
        <v>392</v>
      </c>
      <c r="B384" s="3">
        <v>45915</v>
      </c>
      <c r="C384" s="2" t="s">
        <v>512</v>
      </c>
      <c r="D384" s="2" t="s">
        <v>517</v>
      </c>
      <c r="E384" s="2" t="s">
        <v>529</v>
      </c>
      <c r="F384" s="2" t="s">
        <v>660</v>
      </c>
      <c r="G384" s="2">
        <v>73.95</v>
      </c>
      <c r="H384" s="2">
        <v>1</v>
      </c>
      <c r="I384" s="5">
        <v>28.3</v>
      </c>
      <c r="J384" s="7">
        <v>0.15</v>
      </c>
    </row>
    <row r="385" spans="1:10" x14ac:dyDescent="0.35">
      <c r="A385" s="2" t="s">
        <v>393</v>
      </c>
      <c r="B385" s="3">
        <v>45905</v>
      </c>
      <c r="C385" s="2" t="s">
        <v>513</v>
      </c>
      <c r="D385" s="2" t="s">
        <v>515</v>
      </c>
      <c r="E385" s="2" t="s">
        <v>533</v>
      </c>
      <c r="F385" s="2" t="s">
        <v>661</v>
      </c>
      <c r="G385" s="2">
        <v>83.7</v>
      </c>
      <c r="H385" s="2">
        <v>1</v>
      </c>
      <c r="I385" s="5">
        <v>17.71</v>
      </c>
      <c r="J385" s="7">
        <v>0.1</v>
      </c>
    </row>
    <row r="386" spans="1:10" x14ac:dyDescent="0.35">
      <c r="A386" s="2" t="s">
        <v>394</v>
      </c>
      <c r="B386" s="3">
        <v>45794</v>
      </c>
      <c r="C386" s="2" t="s">
        <v>511</v>
      </c>
      <c r="D386" s="2" t="s">
        <v>517</v>
      </c>
      <c r="E386" s="2" t="s">
        <v>522</v>
      </c>
      <c r="F386" s="2" t="s">
        <v>645</v>
      </c>
      <c r="G386" s="2">
        <v>414.8</v>
      </c>
      <c r="H386" s="2">
        <v>1</v>
      </c>
      <c r="I386" s="5">
        <v>81.8</v>
      </c>
      <c r="J386" s="7">
        <v>0.15</v>
      </c>
    </row>
    <row r="387" spans="1:10" x14ac:dyDescent="0.35">
      <c r="A387" s="2" t="s">
        <v>395</v>
      </c>
      <c r="B387" s="3">
        <v>45940</v>
      </c>
      <c r="C387" s="2" t="s">
        <v>513</v>
      </c>
      <c r="D387" s="2" t="s">
        <v>516</v>
      </c>
      <c r="E387" s="2" t="s">
        <v>535</v>
      </c>
      <c r="F387" s="2" t="s">
        <v>616</v>
      </c>
      <c r="G387" s="2">
        <v>608</v>
      </c>
      <c r="H387" s="2">
        <v>4</v>
      </c>
      <c r="I387" s="5">
        <v>191.84</v>
      </c>
      <c r="J387" s="7">
        <v>0</v>
      </c>
    </row>
    <row r="388" spans="1:10" x14ac:dyDescent="0.35">
      <c r="A388" s="2" t="s">
        <v>396</v>
      </c>
      <c r="B388" s="3">
        <v>45905</v>
      </c>
      <c r="C388" s="2" t="s">
        <v>511</v>
      </c>
      <c r="D388" s="2" t="s">
        <v>515</v>
      </c>
      <c r="E388" s="2" t="s">
        <v>528</v>
      </c>
      <c r="F388" s="2" t="s">
        <v>620</v>
      </c>
      <c r="G388" s="2">
        <v>525.6</v>
      </c>
      <c r="H388" s="2">
        <v>4</v>
      </c>
      <c r="I388" s="5">
        <v>133.85</v>
      </c>
      <c r="J388" s="7">
        <v>0.1</v>
      </c>
    </row>
    <row r="389" spans="1:10" x14ac:dyDescent="0.35">
      <c r="A389" s="2" t="s">
        <v>397</v>
      </c>
      <c r="B389" s="3">
        <v>45720</v>
      </c>
      <c r="C389" s="2" t="s">
        <v>512</v>
      </c>
      <c r="D389" s="2" t="s">
        <v>515</v>
      </c>
      <c r="E389" s="2" t="s">
        <v>528</v>
      </c>
      <c r="F389" s="2" t="s">
        <v>647</v>
      </c>
      <c r="G389" s="2">
        <v>45.05</v>
      </c>
      <c r="H389" s="2">
        <v>1</v>
      </c>
      <c r="I389" s="5">
        <v>20.11</v>
      </c>
      <c r="J389" s="7">
        <v>0.15</v>
      </c>
    </row>
    <row r="390" spans="1:10" x14ac:dyDescent="0.35">
      <c r="A390" s="2" t="s">
        <v>398</v>
      </c>
      <c r="B390" s="3">
        <v>45818</v>
      </c>
      <c r="C390" s="2" t="s">
        <v>510</v>
      </c>
      <c r="D390" s="2" t="s">
        <v>516</v>
      </c>
      <c r="E390" s="2" t="s">
        <v>523</v>
      </c>
      <c r="F390" s="2" t="s">
        <v>656</v>
      </c>
      <c r="G390" s="2">
        <v>675</v>
      </c>
      <c r="H390" s="2">
        <v>2</v>
      </c>
      <c r="I390" s="5">
        <v>264.5</v>
      </c>
      <c r="J390" s="7">
        <v>0.1</v>
      </c>
    </row>
    <row r="391" spans="1:10" x14ac:dyDescent="0.35">
      <c r="A391" s="2" t="s">
        <v>399</v>
      </c>
      <c r="B391" s="3">
        <v>45734</v>
      </c>
      <c r="C391" s="2" t="s">
        <v>511</v>
      </c>
      <c r="D391" s="2" t="s">
        <v>517</v>
      </c>
      <c r="E391" s="2" t="s">
        <v>522</v>
      </c>
      <c r="F391" s="2" t="s">
        <v>629</v>
      </c>
      <c r="G391" s="2">
        <v>2243.15</v>
      </c>
      <c r="H391" s="2">
        <v>7</v>
      </c>
      <c r="I391" s="5">
        <v>444.52</v>
      </c>
      <c r="J391" s="7">
        <v>0.15</v>
      </c>
    </row>
    <row r="392" spans="1:10" x14ac:dyDescent="0.35">
      <c r="A392" s="2" t="s">
        <v>400</v>
      </c>
      <c r="B392" s="3">
        <v>45764</v>
      </c>
      <c r="C392" s="2" t="s">
        <v>512</v>
      </c>
      <c r="D392" s="2" t="s">
        <v>517</v>
      </c>
      <c r="E392" s="2" t="s">
        <v>522</v>
      </c>
      <c r="F392" s="2" t="s">
        <v>604</v>
      </c>
      <c r="G392" s="2">
        <v>263.14999999999998</v>
      </c>
      <c r="H392" s="2">
        <v>1</v>
      </c>
      <c r="I392" s="5">
        <v>88.04</v>
      </c>
      <c r="J392" s="7">
        <v>0.05</v>
      </c>
    </row>
    <row r="393" spans="1:10" x14ac:dyDescent="0.35">
      <c r="A393" s="2" t="s">
        <v>401</v>
      </c>
      <c r="B393" s="3">
        <v>45715</v>
      </c>
      <c r="C393" s="2" t="s">
        <v>510</v>
      </c>
      <c r="D393" s="2" t="s">
        <v>516</v>
      </c>
      <c r="E393" s="2" t="s">
        <v>521</v>
      </c>
      <c r="F393" s="2" t="s">
        <v>631</v>
      </c>
      <c r="G393" s="2">
        <v>2782.8</v>
      </c>
      <c r="H393" s="2">
        <v>4</v>
      </c>
      <c r="I393" s="5">
        <v>910.88</v>
      </c>
      <c r="J393" s="7">
        <v>0.1</v>
      </c>
    </row>
    <row r="394" spans="1:10" x14ac:dyDescent="0.35">
      <c r="A394" s="2" t="s">
        <v>402</v>
      </c>
      <c r="B394" s="3">
        <v>45720</v>
      </c>
      <c r="C394" s="2" t="s">
        <v>513</v>
      </c>
      <c r="D394" s="2" t="s">
        <v>518</v>
      </c>
      <c r="E394" s="2" t="s">
        <v>532</v>
      </c>
      <c r="F394" s="2" t="s">
        <v>665</v>
      </c>
      <c r="G394" s="2">
        <v>69.7</v>
      </c>
      <c r="H394" s="2">
        <v>2</v>
      </c>
      <c r="I394" s="5">
        <v>23.47</v>
      </c>
      <c r="J394" s="7">
        <v>0.15</v>
      </c>
    </row>
    <row r="395" spans="1:10" x14ac:dyDescent="0.35">
      <c r="A395" s="2" t="s">
        <v>403</v>
      </c>
      <c r="B395" s="3">
        <v>45981</v>
      </c>
      <c r="C395" s="2" t="s">
        <v>511</v>
      </c>
      <c r="D395" s="2" t="s">
        <v>517</v>
      </c>
      <c r="E395" s="2" t="s">
        <v>529</v>
      </c>
      <c r="F395" s="2" t="s">
        <v>633</v>
      </c>
      <c r="G395" s="2">
        <v>1138.5</v>
      </c>
      <c r="H395" s="2">
        <v>5</v>
      </c>
      <c r="I395" s="5">
        <v>361.36</v>
      </c>
      <c r="J395" s="7">
        <v>0.1</v>
      </c>
    </row>
    <row r="396" spans="1:10" x14ac:dyDescent="0.35">
      <c r="A396" s="2" t="s">
        <v>404</v>
      </c>
      <c r="B396" s="3">
        <v>45790</v>
      </c>
      <c r="C396" s="2" t="s">
        <v>512</v>
      </c>
      <c r="D396" s="2" t="s">
        <v>515</v>
      </c>
      <c r="E396" s="2" t="s">
        <v>526</v>
      </c>
      <c r="F396" s="2" t="s">
        <v>549</v>
      </c>
      <c r="G396" s="2">
        <v>686.4</v>
      </c>
      <c r="H396" s="2">
        <v>6</v>
      </c>
      <c r="I396" s="5">
        <v>279.14</v>
      </c>
      <c r="J396" s="7">
        <v>0.2</v>
      </c>
    </row>
    <row r="397" spans="1:10" x14ac:dyDescent="0.35">
      <c r="A397" s="2" t="s">
        <v>405</v>
      </c>
      <c r="B397" s="3">
        <v>45786</v>
      </c>
      <c r="C397" s="2" t="s">
        <v>511</v>
      </c>
      <c r="D397" s="2" t="s">
        <v>516</v>
      </c>
      <c r="E397" s="2" t="s">
        <v>535</v>
      </c>
      <c r="F397" s="2" t="s">
        <v>672</v>
      </c>
      <c r="G397" s="2">
        <v>4410</v>
      </c>
      <c r="H397" s="2">
        <v>7</v>
      </c>
      <c r="I397" s="5">
        <v>1024.98</v>
      </c>
      <c r="J397" s="7">
        <v>0.1</v>
      </c>
    </row>
    <row r="398" spans="1:10" x14ac:dyDescent="0.35">
      <c r="A398" s="2" t="s">
        <v>406</v>
      </c>
      <c r="B398" s="3">
        <v>45810</v>
      </c>
      <c r="C398" s="2" t="s">
        <v>512</v>
      </c>
      <c r="D398" s="2" t="s">
        <v>518</v>
      </c>
      <c r="E398" s="2" t="s">
        <v>527</v>
      </c>
      <c r="F398" s="2" t="s">
        <v>624</v>
      </c>
      <c r="G398" s="2">
        <v>123.5</v>
      </c>
      <c r="H398" s="2">
        <v>2</v>
      </c>
      <c r="I398" s="5">
        <v>27.95</v>
      </c>
      <c r="J398" s="7">
        <v>0.05</v>
      </c>
    </row>
    <row r="399" spans="1:10" x14ac:dyDescent="0.35">
      <c r="A399" s="2" t="s">
        <v>407</v>
      </c>
      <c r="B399" s="3">
        <v>45993</v>
      </c>
      <c r="C399" s="2" t="s">
        <v>512</v>
      </c>
      <c r="D399" s="2" t="s">
        <v>517</v>
      </c>
      <c r="E399" s="2" t="s">
        <v>530</v>
      </c>
      <c r="F399" s="2" t="s">
        <v>612</v>
      </c>
      <c r="G399" s="2">
        <v>498.75</v>
      </c>
      <c r="H399" s="2">
        <v>7</v>
      </c>
      <c r="I399" s="5">
        <v>187.88</v>
      </c>
      <c r="J399" s="7">
        <v>0.05</v>
      </c>
    </row>
    <row r="400" spans="1:10" x14ac:dyDescent="0.35">
      <c r="A400" s="2" t="s">
        <v>408</v>
      </c>
      <c r="B400" s="3">
        <v>45744</v>
      </c>
      <c r="C400" s="2" t="s">
        <v>512</v>
      </c>
      <c r="D400" s="2" t="s">
        <v>516</v>
      </c>
      <c r="E400" s="2" t="s">
        <v>525</v>
      </c>
      <c r="F400" s="2" t="s">
        <v>673</v>
      </c>
      <c r="G400" s="2">
        <v>85</v>
      </c>
      <c r="H400" s="2">
        <v>1</v>
      </c>
      <c r="I400" s="5">
        <v>18.54</v>
      </c>
      <c r="J400" s="7">
        <v>0</v>
      </c>
    </row>
    <row r="401" spans="1:10" x14ac:dyDescent="0.35">
      <c r="A401" s="2" t="s">
        <v>409</v>
      </c>
      <c r="B401" s="3">
        <v>45822</v>
      </c>
      <c r="C401" s="2" t="s">
        <v>510</v>
      </c>
      <c r="D401" s="2" t="s">
        <v>515</v>
      </c>
      <c r="E401" s="2" t="s">
        <v>520</v>
      </c>
      <c r="F401" s="2" t="s">
        <v>588</v>
      </c>
      <c r="G401" s="2">
        <v>423</v>
      </c>
      <c r="H401" s="2">
        <v>3</v>
      </c>
      <c r="I401" s="5">
        <v>172.03</v>
      </c>
      <c r="J401" s="7">
        <v>0</v>
      </c>
    </row>
    <row r="402" spans="1:10" x14ac:dyDescent="0.35">
      <c r="A402" s="2" t="s">
        <v>410</v>
      </c>
      <c r="B402" s="3">
        <v>45742</v>
      </c>
      <c r="C402" s="2" t="s">
        <v>513</v>
      </c>
      <c r="D402" s="2" t="s">
        <v>518</v>
      </c>
      <c r="E402" s="2" t="s">
        <v>532</v>
      </c>
      <c r="F402" s="2" t="s">
        <v>667</v>
      </c>
      <c r="G402" s="2">
        <v>196</v>
      </c>
      <c r="H402" s="2">
        <v>4</v>
      </c>
      <c r="I402" s="5">
        <v>49.01</v>
      </c>
      <c r="J402" s="7">
        <v>0</v>
      </c>
    </row>
    <row r="403" spans="1:10" x14ac:dyDescent="0.35">
      <c r="A403" s="2" t="s">
        <v>411</v>
      </c>
      <c r="B403" s="3">
        <v>45779</v>
      </c>
      <c r="C403" s="2" t="s">
        <v>513</v>
      </c>
      <c r="D403" s="2" t="s">
        <v>518</v>
      </c>
      <c r="E403" s="2" t="s">
        <v>532</v>
      </c>
      <c r="F403" s="2" t="s">
        <v>594</v>
      </c>
      <c r="G403" s="2">
        <v>204</v>
      </c>
      <c r="H403" s="2">
        <v>6</v>
      </c>
      <c r="I403" s="5">
        <v>68.989999999999995</v>
      </c>
      <c r="J403" s="7">
        <v>0</v>
      </c>
    </row>
    <row r="404" spans="1:10" x14ac:dyDescent="0.35">
      <c r="A404" s="2" t="s">
        <v>412</v>
      </c>
      <c r="B404" s="3">
        <v>45809</v>
      </c>
      <c r="C404" s="2" t="s">
        <v>511</v>
      </c>
      <c r="D404" s="2" t="s">
        <v>518</v>
      </c>
      <c r="E404" s="2" t="s">
        <v>532</v>
      </c>
      <c r="F404" s="2" t="s">
        <v>634</v>
      </c>
      <c r="G404" s="2">
        <v>73.8</v>
      </c>
      <c r="H404" s="2">
        <v>1</v>
      </c>
      <c r="I404" s="5">
        <v>26.52</v>
      </c>
      <c r="J404" s="7">
        <v>0.1</v>
      </c>
    </row>
    <row r="405" spans="1:10" x14ac:dyDescent="0.35">
      <c r="A405" s="2" t="s">
        <v>413</v>
      </c>
      <c r="B405" s="3">
        <v>46011</v>
      </c>
      <c r="C405" s="2" t="s">
        <v>510</v>
      </c>
      <c r="D405" s="2" t="s">
        <v>516</v>
      </c>
      <c r="E405" s="2" t="s">
        <v>525</v>
      </c>
      <c r="F405" s="2" t="s">
        <v>588</v>
      </c>
      <c r="G405" s="2">
        <v>2447.1999999999998</v>
      </c>
      <c r="H405" s="2">
        <v>7</v>
      </c>
      <c r="I405" s="5">
        <v>829.1</v>
      </c>
      <c r="J405" s="7">
        <v>0.05</v>
      </c>
    </row>
    <row r="406" spans="1:10" x14ac:dyDescent="0.35">
      <c r="A406" s="2" t="s">
        <v>414</v>
      </c>
      <c r="B406" s="3">
        <v>45952</v>
      </c>
      <c r="C406" s="2" t="s">
        <v>511</v>
      </c>
      <c r="D406" s="2" t="s">
        <v>517</v>
      </c>
      <c r="E406" s="2" t="s">
        <v>529</v>
      </c>
      <c r="F406" s="2" t="s">
        <v>536</v>
      </c>
      <c r="G406" s="2">
        <v>753.6</v>
      </c>
      <c r="H406" s="2">
        <v>2</v>
      </c>
      <c r="I406" s="5">
        <v>315.27</v>
      </c>
      <c r="J406" s="7">
        <v>0.2</v>
      </c>
    </row>
    <row r="407" spans="1:10" x14ac:dyDescent="0.35">
      <c r="A407" s="2" t="s">
        <v>415</v>
      </c>
      <c r="B407" s="3">
        <v>45962</v>
      </c>
      <c r="C407" s="2" t="s">
        <v>510</v>
      </c>
      <c r="D407" s="2" t="s">
        <v>517</v>
      </c>
      <c r="E407" s="2" t="s">
        <v>529</v>
      </c>
      <c r="F407" s="2" t="s">
        <v>553</v>
      </c>
      <c r="G407" s="2">
        <v>2293.1999999999998</v>
      </c>
      <c r="H407" s="2">
        <v>7</v>
      </c>
      <c r="I407" s="5">
        <v>905.43</v>
      </c>
      <c r="J407" s="7">
        <v>0.1</v>
      </c>
    </row>
    <row r="408" spans="1:10" x14ac:dyDescent="0.35">
      <c r="A408" s="2" t="s">
        <v>416</v>
      </c>
      <c r="B408" s="3">
        <v>45939</v>
      </c>
      <c r="C408" s="2" t="s">
        <v>511</v>
      </c>
      <c r="D408" s="2" t="s">
        <v>516</v>
      </c>
      <c r="E408" s="2" t="s">
        <v>525</v>
      </c>
      <c r="F408" s="2" t="s">
        <v>582</v>
      </c>
      <c r="G408" s="2">
        <v>2918.4</v>
      </c>
      <c r="H408" s="2">
        <v>6</v>
      </c>
      <c r="I408" s="5">
        <v>818.1</v>
      </c>
      <c r="J408" s="7">
        <v>0.2</v>
      </c>
    </row>
    <row r="409" spans="1:10" x14ac:dyDescent="0.35">
      <c r="A409" s="2" t="s">
        <v>417</v>
      </c>
      <c r="B409" s="3">
        <v>45993</v>
      </c>
      <c r="C409" s="2" t="s">
        <v>512</v>
      </c>
      <c r="D409" s="2" t="s">
        <v>516</v>
      </c>
      <c r="E409" s="2" t="s">
        <v>535</v>
      </c>
      <c r="F409" s="2" t="s">
        <v>619</v>
      </c>
      <c r="G409" s="2">
        <v>486.4</v>
      </c>
      <c r="H409" s="2">
        <v>4</v>
      </c>
      <c r="I409" s="5">
        <v>111.01</v>
      </c>
      <c r="J409" s="7">
        <v>0.2</v>
      </c>
    </row>
    <row r="410" spans="1:10" x14ac:dyDescent="0.35">
      <c r="A410" s="2" t="s">
        <v>418</v>
      </c>
      <c r="B410" s="3">
        <v>45928</v>
      </c>
      <c r="C410" s="2" t="s">
        <v>510</v>
      </c>
      <c r="D410" s="2" t="s">
        <v>515</v>
      </c>
      <c r="E410" s="2" t="s">
        <v>533</v>
      </c>
      <c r="F410" s="2" t="s">
        <v>665</v>
      </c>
      <c r="G410" s="2">
        <v>153.9</v>
      </c>
      <c r="H410" s="2">
        <v>1</v>
      </c>
      <c r="I410" s="5">
        <v>33.729999999999997</v>
      </c>
      <c r="J410" s="7">
        <v>0.1</v>
      </c>
    </row>
    <row r="411" spans="1:10" x14ac:dyDescent="0.35">
      <c r="A411" s="2" t="s">
        <v>419</v>
      </c>
      <c r="B411" s="3">
        <v>45679</v>
      </c>
      <c r="C411" s="2" t="s">
        <v>513</v>
      </c>
      <c r="D411" s="2" t="s">
        <v>516</v>
      </c>
      <c r="E411" s="2" t="s">
        <v>535</v>
      </c>
      <c r="F411" s="2" t="s">
        <v>559</v>
      </c>
      <c r="G411" s="2">
        <v>775.2</v>
      </c>
      <c r="H411" s="2">
        <v>6</v>
      </c>
      <c r="I411" s="5">
        <v>334.82</v>
      </c>
      <c r="J411" s="7">
        <v>0.05</v>
      </c>
    </row>
    <row r="412" spans="1:10" x14ac:dyDescent="0.35">
      <c r="A412" s="2" t="s">
        <v>420</v>
      </c>
      <c r="B412" s="3">
        <v>45702</v>
      </c>
      <c r="C412" s="2" t="s">
        <v>513</v>
      </c>
      <c r="D412" s="2" t="s">
        <v>518</v>
      </c>
      <c r="E412" s="2" t="s">
        <v>527</v>
      </c>
      <c r="F412" s="2" t="s">
        <v>592</v>
      </c>
      <c r="G412" s="2">
        <v>186.2</v>
      </c>
      <c r="H412" s="2">
        <v>4</v>
      </c>
      <c r="I412" s="5">
        <v>64.91</v>
      </c>
      <c r="J412" s="7">
        <v>0.05</v>
      </c>
    </row>
    <row r="413" spans="1:10" x14ac:dyDescent="0.35">
      <c r="A413" s="2" t="s">
        <v>421</v>
      </c>
      <c r="B413" s="3">
        <v>45977</v>
      </c>
      <c r="C413" s="2" t="s">
        <v>511</v>
      </c>
      <c r="D413" s="2" t="s">
        <v>518</v>
      </c>
      <c r="E413" s="2" t="s">
        <v>524</v>
      </c>
      <c r="F413" s="2" t="s">
        <v>626</v>
      </c>
      <c r="G413" s="2">
        <v>391.5</v>
      </c>
      <c r="H413" s="2">
        <v>5</v>
      </c>
      <c r="I413" s="5">
        <v>139.12</v>
      </c>
      <c r="J413" s="7">
        <v>0.1</v>
      </c>
    </row>
    <row r="414" spans="1:10" x14ac:dyDescent="0.35">
      <c r="A414" s="2" t="s">
        <v>422</v>
      </c>
      <c r="B414" s="3">
        <v>45753</v>
      </c>
      <c r="C414" s="2" t="s">
        <v>510</v>
      </c>
      <c r="D414" s="2" t="s">
        <v>515</v>
      </c>
      <c r="E414" s="2" t="s">
        <v>533</v>
      </c>
      <c r="F414" s="2" t="s">
        <v>539</v>
      </c>
      <c r="G414" s="2">
        <v>494</v>
      </c>
      <c r="H414" s="2">
        <v>4</v>
      </c>
      <c r="I414" s="5">
        <v>175.62</v>
      </c>
      <c r="J414" s="7">
        <v>0.05</v>
      </c>
    </row>
    <row r="415" spans="1:10" x14ac:dyDescent="0.35">
      <c r="A415" s="2" t="s">
        <v>423</v>
      </c>
      <c r="B415" s="3">
        <v>45858</v>
      </c>
      <c r="C415" s="2" t="s">
        <v>513</v>
      </c>
      <c r="D415" s="2" t="s">
        <v>517</v>
      </c>
      <c r="E415" s="2" t="s">
        <v>530</v>
      </c>
      <c r="F415" s="2" t="s">
        <v>674</v>
      </c>
      <c r="G415" s="2">
        <v>198</v>
      </c>
      <c r="H415" s="2">
        <v>1</v>
      </c>
      <c r="I415" s="5">
        <v>58.04</v>
      </c>
      <c r="J415" s="7">
        <v>0</v>
      </c>
    </row>
    <row r="416" spans="1:10" x14ac:dyDescent="0.35">
      <c r="A416" s="2" t="s">
        <v>424</v>
      </c>
      <c r="B416" s="3">
        <v>45728</v>
      </c>
      <c r="C416" s="2" t="s">
        <v>511</v>
      </c>
      <c r="D416" s="2" t="s">
        <v>516</v>
      </c>
      <c r="E416" s="2" t="s">
        <v>521</v>
      </c>
      <c r="F416" s="2" t="s">
        <v>558</v>
      </c>
      <c r="G416" s="2">
        <v>3765.5</v>
      </c>
      <c r="H416" s="2">
        <v>5</v>
      </c>
      <c r="I416" s="5">
        <v>939.84</v>
      </c>
      <c r="J416" s="7">
        <v>0.15</v>
      </c>
    </row>
    <row r="417" spans="1:10" x14ac:dyDescent="0.35">
      <c r="A417" s="2" t="s">
        <v>425</v>
      </c>
      <c r="B417" s="3">
        <v>46003</v>
      </c>
      <c r="C417" s="2" t="s">
        <v>511</v>
      </c>
      <c r="D417" s="2" t="s">
        <v>515</v>
      </c>
      <c r="E417" s="2" t="s">
        <v>520</v>
      </c>
      <c r="F417" s="2" t="s">
        <v>603</v>
      </c>
      <c r="G417" s="2">
        <v>853.2</v>
      </c>
      <c r="H417" s="2">
        <v>6</v>
      </c>
      <c r="I417" s="5">
        <v>284.14999999999998</v>
      </c>
      <c r="J417" s="7">
        <v>0.1</v>
      </c>
    </row>
    <row r="418" spans="1:10" x14ac:dyDescent="0.35">
      <c r="A418" s="2" t="s">
        <v>426</v>
      </c>
      <c r="B418" s="3">
        <v>45894</v>
      </c>
      <c r="C418" s="2" t="s">
        <v>510</v>
      </c>
      <c r="D418" s="2" t="s">
        <v>517</v>
      </c>
      <c r="E418" s="2" t="s">
        <v>530</v>
      </c>
      <c r="F418" s="2" t="s">
        <v>539</v>
      </c>
      <c r="G418" s="2">
        <v>554.4</v>
      </c>
      <c r="H418" s="2">
        <v>2</v>
      </c>
      <c r="I418" s="5">
        <v>221.73</v>
      </c>
      <c r="J418" s="7">
        <v>0.1</v>
      </c>
    </row>
    <row r="419" spans="1:10" x14ac:dyDescent="0.35">
      <c r="A419" s="2" t="s">
        <v>427</v>
      </c>
      <c r="B419" s="3">
        <v>45835</v>
      </c>
      <c r="C419" s="2" t="s">
        <v>511</v>
      </c>
      <c r="D419" s="2" t="s">
        <v>517</v>
      </c>
      <c r="E419" s="2" t="s">
        <v>522</v>
      </c>
      <c r="F419" s="2" t="s">
        <v>594</v>
      </c>
      <c r="G419" s="2">
        <v>1356</v>
      </c>
      <c r="H419" s="2">
        <v>4</v>
      </c>
      <c r="I419" s="5">
        <v>396.14</v>
      </c>
      <c r="J419" s="7">
        <v>0</v>
      </c>
    </row>
    <row r="420" spans="1:10" x14ac:dyDescent="0.35">
      <c r="A420" s="2" t="s">
        <v>428</v>
      </c>
      <c r="B420" s="3">
        <v>45823</v>
      </c>
      <c r="C420" s="2" t="s">
        <v>510</v>
      </c>
      <c r="D420" s="2" t="s">
        <v>517</v>
      </c>
      <c r="E420" s="2" t="s">
        <v>534</v>
      </c>
      <c r="F420" s="2" t="s">
        <v>595</v>
      </c>
      <c r="G420" s="2">
        <v>526</v>
      </c>
      <c r="H420" s="2">
        <v>2</v>
      </c>
      <c r="I420" s="5">
        <v>199.2</v>
      </c>
      <c r="J420" s="7">
        <v>0</v>
      </c>
    </row>
    <row r="421" spans="1:10" x14ac:dyDescent="0.35">
      <c r="A421" s="2" t="s">
        <v>429</v>
      </c>
      <c r="B421" s="3">
        <v>45935</v>
      </c>
      <c r="C421" s="2" t="s">
        <v>513</v>
      </c>
      <c r="D421" s="2" t="s">
        <v>516</v>
      </c>
      <c r="E421" s="2" t="s">
        <v>535</v>
      </c>
      <c r="F421" s="2" t="s">
        <v>540</v>
      </c>
      <c r="G421" s="2">
        <v>1057.5</v>
      </c>
      <c r="H421" s="2">
        <v>5</v>
      </c>
      <c r="I421" s="5">
        <v>305.89999999999998</v>
      </c>
      <c r="J421" s="7">
        <v>0.1</v>
      </c>
    </row>
    <row r="422" spans="1:10" x14ac:dyDescent="0.35">
      <c r="A422" s="2" t="s">
        <v>430</v>
      </c>
      <c r="B422" s="3">
        <v>45914</v>
      </c>
      <c r="C422" s="2" t="s">
        <v>512</v>
      </c>
      <c r="D422" s="2" t="s">
        <v>518</v>
      </c>
      <c r="E422" s="2" t="s">
        <v>527</v>
      </c>
      <c r="F422" s="2" t="s">
        <v>543</v>
      </c>
      <c r="G422" s="2">
        <v>560</v>
      </c>
      <c r="H422" s="2">
        <v>7</v>
      </c>
      <c r="I422" s="5">
        <v>186.63</v>
      </c>
      <c r="J422" s="7">
        <v>0</v>
      </c>
    </row>
    <row r="423" spans="1:10" x14ac:dyDescent="0.35">
      <c r="A423" s="2" t="s">
        <v>431</v>
      </c>
      <c r="B423" s="3">
        <v>45959</v>
      </c>
      <c r="C423" s="2" t="s">
        <v>513</v>
      </c>
      <c r="D423" s="2" t="s">
        <v>517</v>
      </c>
      <c r="E423" s="2" t="s">
        <v>522</v>
      </c>
      <c r="F423" s="2" t="s">
        <v>667</v>
      </c>
      <c r="G423" s="2">
        <v>540</v>
      </c>
      <c r="H423" s="2">
        <v>5</v>
      </c>
      <c r="I423" s="5">
        <v>151.13999999999999</v>
      </c>
      <c r="J423" s="7">
        <v>0.2</v>
      </c>
    </row>
    <row r="424" spans="1:10" x14ac:dyDescent="0.35">
      <c r="A424" s="2" t="s">
        <v>432</v>
      </c>
      <c r="B424" s="3">
        <v>45915</v>
      </c>
      <c r="C424" s="2" t="s">
        <v>511</v>
      </c>
      <c r="D424" s="2" t="s">
        <v>516</v>
      </c>
      <c r="E424" s="2" t="s">
        <v>521</v>
      </c>
      <c r="F424" s="2" t="s">
        <v>583</v>
      </c>
      <c r="G424" s="2">
        <v>3734.4</v>
      </c>
      <c r="H424" s="2">
        <v>6</v>
      </c>
      <c r="I424" s="5">
        <v>848.22</v>
      </c>
      <c r="J424" s="7">
        <v>0.2</v>
      </c>
    </row>
    <row r="425" spans="1:10" x14ac:dyDescent="0.35">
      <c r="A425" s="2" t="s">
        <v>433</v>
      </c>
      <c r="B425" s="3">
        <v>45944</v>
      </c>
      <c r="C425" s="2" t="s">
        <v>510</v>
      </c>
      <c r="D425" s="2" t="s">
        <v>516</v>
      </c>
      <c r="E425" s="2" t="s">
        <v>535</v>
      </c>
      <c r="F425" s="2" t="s">
        <v>595</v>
      </c>
      <c r="G425" s="2">
        <v>3599.75</v>
      </c>
      <c r="H425" s="2">
        <v>5</v>
      </c>
      <c r="I425" s="5">
        <v>1302.42</v>
      </c>
      <c r="J425" s="7">
        <v>0.15</v>
      </c>
    </row>
    <row r="426" spans="1:10" x14ac:dyDescent="0.35">
      <c r="A426" s="2" t="s">
        <v>434</v>
      </c>
      <c r="B426" s="3">
        <v>45948</v>
      </c>
      <c r="C426" s="2" t="s">
        <v>511</v>
      </c>
      <c r="D426" s="2" t="s">
        <v>517</v>
      </c>
      <c r="E426" s="2" t="s">
        <v>534</v>
      </c>
      <c r="F426" s="2" t="s">
        <v>639</v>
      </c>
      <c r="G426" s="2">
        <v>1560</v>
      </c>
      <c r="H426" s="2">
        <v>5</v>
      </c>
      <c r="I426" s="5">
        <v>568.01</v>
      </c>
      <c r="J426" s="7">
        <v>0.2</v>
      </c>
    </row>
    <row r="427" spans="1:10" x14ac:dyDescent="0.35">
      <c r="A427" s="2" t="s">
        <v>435</v>
      </c>
      <c r="B427" s="3">
        <v>46013</v>
      </c>
      <c r="C427" s="2" t="s">
        <v>511</v>
      </c>
      <c r="D427" s="2" t="s">
        <v>515</v>
      </c>
      <c r="E427" s="2" t="s">
        <v>533</v>
      </c>
      <c r="F427" s="2" t="s">
        <v>658</v>
      </c>
      <c r="G427" s="2">
        <v>139.65</v>
      </c>
      <c r="H427" s="2">
        <v>3</v>
      </c>
      <c r="I427" s="5">
        <v>36.22</v>
      </c>
      <c r="J427" s="7">
        <v>0.05</v>
      </c>
    </row>
    <row r="428" spans="1:10" x14ac:dyDescent="0.35">
      <c r="A428" s="2" t="s">
        <v>436</v>
      </c>
      <c r="B428" s="3">
        <v>45676</v>
      </c>
      <c r="C428" s="2" t="s">
        <v>510</v>
      </c>
      <c r="D428" s="2" t="s">
        <v>515</v>
      </c>
      <c r="E428" s="2" t="s">
        <v>520</v>
      </c>
      <c r="F428" s="2" t="s">
        <v>593</v>
      </c>
      <c r="G428" s="2">
        <v>412.25</v>
      </c>
      <c r="H428" s="2">
        <v>5</v>
      </c>
      <c r="I428" s="5">
        <v>75.239999999999995</v>
      </c>
      <c r="J428" s="7">
        <v>0.15</v>
      </c>
    </row>
    <row r="429" spans="1:10" x14ac:dyDescent="0.35">
      <c r="A429" s="2" t="s">
        <v>437</v>
      </c>
      <c r="B429" s="3">
        <v>45840</v>
      </c>
      <c r="C429" s="2" t="s">
        <v>511</v>
      </c>
      <c r="D429" s="2" t="s">
        <v>516</v>
      </c>
      <c r="E429" s="2" t="s">
        <v>523</v>
      </c>
      <c r="F429" s="2" t="s">
        <v>626</v>
      </c>
      <c r="G429" s="2">
        <v>319.5</v>
      </c>
      <c r="H429" s="2">
        <v>1</v>
      </c>
      <c r="I429" s="5">
        <v>63.62</v>
      </c>
      <c r="J429" s="7">
        <v>0.1</v>
      </c>
    </row>
    <row r="430" spans="1:10" x14ac:dyDescent="0.35">
      <c r="A430" s="2" t="s">
        <v>438</v>
      </c>
      <c r="B430" s="3">
        <v>45671</v>
      </c>
      <c r="C430" s="2" t="s">
        <v>510</v>
      </c>
      <c r="D430" s="2" t="s">
        <v>516</v>
      </c>
      <c r="E430" s="2" t="s">
        <v>523</v>
      </c>
      <c r="F430" s="2" t="s">
        <v>615</v>
      </c>
      <c r="G430" s="2">
        <v>3650.75</v>
      </c>
      <c r="H430" s="2">
        <v>5</v>
      </c>
      <c r="I430" s="5">
        <v>716.34</v>
      </c>
      <c r="J430" s="7">
        <v>0.15</v>
      </c>
    </row>
    <row r="431" spans="1:10" x14ac:dyDescent="0.35">
      <c r="A431" s="2" t="s">
        <v>439</v>
      </c>
      <c r="B431" s="3">
        <v>45790</v>
      </c>
      <c r="C431" s="2" t="s">
        <v>510</v>
      </c>
      <c r="D431" s="2" t="s">
        <v>515</v>
      </c>
      <c r="E431" s="2" t="s">
        <v>528</v>
      </c>
      <c r="F431" s="2" t="s">
        <v>626</v>
      </c>
      <c r="G431" s="2">
        <v>241.2</v>
      </c>
      <c r="H431" s="2">
        <v>2</v>
      </c>
      <c r="I431" s="5">
        <v>97.64</v>
      </c>
      <c r="J431" s="7">
        <v>0.1</v>
      </c>
    </row>
    <row r="432" spans="1:10" x14ac:dyDescent="0.35">
      <c r="A432" s="2" t="s">
        <v>440</v>
      </c>
      <c r="B432" s="3">
        <v>45917</v>
      </c>
      <c r="C432" s="2" t="s">
        <v>512</v>
      </c>
      <c r="D432" s="2" t="s">
        <v>515</v>
      </c>
      <c r="E432" s="2" t="s">
        <v>528</v>
      </c>
      <c r="F432" s="2" t="s">
        <v>547</v>
      </c>
      <c r="G432" s="2">
        <v>164</v>
      </c>
      <c r="H432" s="2">
        <v>1</v>
      </c>
      <c r="I432" s="5">
        <v>45.64</v>
      </c>
      <c r="J432" s="7">
        <v>0</v>
      </c>
    </row>
    <row r="433" spans="1:10" x14ac:dyDescent="0.35">
      <c r="A433" s="2" t="s">
        <v>441</v>
      </c>
      <c r="B433" s="3">
        <v>45769</v>
      </c>
      <c r="C433" s="2" t="s">
        <v>512</v>
      </c>
      <c r="D433" s="2" t="s">
        <v>518</v>
      </c>
      <c r="E433" s="2" t="s">
        <v>524</v>
      </c>
      <c r="F433" s="2" t="s">
        <v>637</v>
      </c>
      <c r="G433" s="2">
        <v>285</v>
      </c>
      <c r="H433" s="2">
        <v>6</v>
      </c>
      <c r="I433" s="5">
        <v>126.78</v>
      </c>
      <c r="J433" s="7">
        <v>0.05</v>
      </c>
    </row>
    <row r="434" spans="1:10" x14ac:dyDescent="0.35">
      <c r="A434" s="2" t="s">
        <v>442</v>
      </c>
      <c r="B434" s="3">
        <v>45747</v>
      </c>
      <c r="C434" s="2" t="s">
        <v>513</v>
      </c>
      <c r="D434" s="2" t="s">
        <v>515</v>
      </c>
      <c r="E434" s="2" t="s">
        <v>526</v>
      </c>
      <c r="F434" s="2" t="s">
        <v>570</v>
      </c>
      <c r="G434" s="2">
        <v>831.6</v>
      </c>
      <c r="H434" s="2">
        <v>7</v>
      </c>
      <c r="I434" s="5">
        <v>230.74</v>
      </c>
      <c r="J434" s="7">
        <v>0.1</v>
      </c>
    </row>
    <row r="435" spans="1:10" x14ac:dyDescent="0.35">
      <c r="A435" s="2" t="s">
        <v>443</v>
      </c>
      <c r="B435" s="3">
        <v>46021</v>
      </c>
      <c r="C435" s="2" t="s">
        <v>511</v>
      </c>
      <c r="D435" s="2" t="s">
        <v>516</v>
      </c>
      <c r="E435" s="2" t="s">
        <v>535</v>
      </c>
      <c r="F435" s="2" t="s">
        <v>655</v>
      </c>
      <c r="G435" s="2">
        <v>3899.75</v>
      </c>
      <c r="H435" s="2">
        <v>5</v>
      </c>
      <c r="I435" s="5">
        <v>975.12</v>
      </c>
      <c r="J435" s="7">
        <v>0.05</v>
      </c>
    </row>
    <row r="436" spans="1:10" x14ac:dyDescent="0.35">
      <c r="A436" s="2" t="s">
        <v>444</v>
      </c>
      <c r="B436" s="3">
        <v>45975</v>
      </c>
      <c r="C436" s="2" t="s">
        <v>510</v>
      </c>
      <c r="D436" s="2" t="s">
        <v>517</v>
      </c>
      <c r="E436" s="2" t="s">
        <v>530</v>
      </c>
      <c r="F436" s="2" t="s">
        <v>623</v>
      </c>
      <c r="G436" s="2">
        <v>1925.25</v>
      </c>
      <c r="H436" s="2">
        <v>5</v>
      </c>
      <c r="I436" s="5">
        <v>738.34</v>
      </c>
      <c r="J436" s="7">
        <v>0.15</v>
      </c>
    </row>
    <row r="437" spans="1:10" x14ac:dyDescent="0.35">
      <c r="A437" s="2" t="s">
        <v>445</v>
      </c>
      <c r="B437" s="3">
        <v>45869</v>
      </c>
      <c r="C437" s="2" t="s">
        <v>512</v>
      </c>
      <c r="D437" s="2" t="s">
        <v>518</v>
      </c>
      <c r="E437" s="2" t="s">
        <v>531</v>
      </c>
      <c r="F437" s="2" t="s">
        <v>637</v>
      </c>
      <c r="G437" s="2">
        <v>171</v>
      </c>
      <c r="H437" s="2">
        <v>3</v>
      </c>
      <c r="I437" s="5">
        <v>30.91</v>
      </c>
      <c r="J437" s="7">
        <v>0</v>
      </c>
    </row>
    <row r="438" spans="1:10" x14ac:dyDescent="0.35">
      <c r="A438" s="2" t="s">
        <v>446</v>
      </c>
      <c r="B438" s="3">
        <v>45776</v>
      </c>
      <c r="C438" s="2" t="s">
        <v>511</v>
      </c>
      <c r="D438" s="2" t="s">
        <v>516</v>
      </c>
      <c r="E438" s="2" t="s">
        <v>521</v>
      </c>
      <c r="F438" s="2" t="s">
        <v>620</v>
      </c>
      <c r="G438" s="2">
        <v>4081.7</v>
      </c>
      <c r="H438" s="2">
        <v>7</v>
      </c>
      <c r="I438" s="5">
        <v>1762.91</v>
      </c>
      <c r="J438" s="7">
        <v>0.15</v>
      </c>
    </row>
    <row r="439" spans="1:10" x14ac:dyDescent="0.35">
      <c r="A439" s="2" t="s">
        <v>447</v>
      </c>
      <c r="B439" s="3">
        <v>45908</v>
      </c>
      <c r="C439" s="2" t="s">
        <v>511</v>
      </c>
      <c r="D439" s="2" t="s">
        <v>518</v>
      </c>
      <c r="E439" s="2" t="s">
        <v>532</v>
      </c>
      <c r="F439" s="2" t="s">
        <v>652</v>
      </c>
      <c r="G439" s="2">
        <v>275.39999999999998</v>
      </c>
      <c r="H439" s="2">
        <v>6</v>
      </c>
      <c r="I439" s="5">
        <v>111.43</v>
      </c>
      <c r="J439" s="7">
        <v>0.15</v>
      </c>
    </row>
    <row r="440" spans="1:10" x14ac:dyDescent="0.35">
      <c r="A440" s="2" t="s">
        <v>448</v>
      </c>
      <c r="B440" s="3">
        <v>45953</v>
      </c>
      <c r="C440" s="2" t="s">
        <v>511</v>
      </c>
      <c r="D440" s="2" t="s">
        <v>517</v>
      </c>
      <c r="E440" s="2" t="s">
        <v>530</v>
      </c>
      <c r="F440" s="2" t="s">
        <v>600</v>
      </c>
      <c r="G440" s="2">
        <v>496</v>
      </c>
      <c r="H440" s="2">
        <v>2</v>
      </c>
      <c r="I440" s="5">
        <v>121.52</v>
      </c>
      <c r="J440" s="7">
        <v>0.2</v>
      </c>
    </row>
    <row r="441" spans="1:10" x14ac:dyDescent="0.35">
      <c r="A441" s="2" t="s">
        <v>449</v>
      </c>
      <c r="B441" s="3">
        <v>45717</v>
      </c>
      <c r="C441" s="2" t="s">
        <v>513</v>
      </c>
      <c r="D441" s="2" t="s">
        <v>518</v>
      </c>
      <c r="E441" s="2" t="s">
        <v>524</v>
      </c>
      <c r="F441" s="2" t="s">
        <v>604</v>
      </c>
      <c r="G441" s="2">
        <v>380.8</v>
      </c>
      <c r="H441" s="2">
        <v>7</v>
      </c>
      <c r="I441" s="5">
        <v>147.44999999999999</v>
      </c>
      <c r="J441" s="7">
        <v>0.2</v>
      </c>
    </row>
    <row r="442" spans="1:10" x14ac:dyDescent="0.35">
      <c r="A442" s="2" t="s">
        <v>450</v>
      </c>
      <c r="B442" s="3">
        <v>45823</v>
      </c>
      <c r="C442" s="2" t="s">
        <v>510</v>
      </c>
      <c r="D442" s="2" t="s">
        <v>518</v>
      </c>
      <c r="E442" s="2" t="s">
        <v>531</v>
      </c>
      <c r="F442" s="2" t="s">
        <v>536</v>
      </c>
      <c r="G442" s="2">
        <v>102</v>
      </c>
      <c r="H442" s="2">
        <v>4</v>
      </c>
      <c r="I442" s="5">
        <v>41.85</v>
      </c>
      <c r="J442" s="7">
        <v>0.15</v>
      </c>
    </row>
    <row r="443" spans="1:10" x14ac:dyDescent="0.35">
      <c r="A443" s="2" t="s">
        <v>451</v>
      </c>
      <c r="B443" s="3">
        <v>45847</v>
      </c>
      <c r="C443" s="2" t="s">
        <v>512</v>
      </c>
      <c r="D443" s="2" t="s">
        <v>515</v>
      </c>
      <c r="E443" s="2" t="s">
        <v>520</v>
      </c>
      <c r="F443" s="2" t="s">
        <v>675</v>
      </c>
      <c r="G443" s="2">
        <v>267.75</v>
      </c>
      <c r="H443" s="2">
        <v>7</v>
      </c>
      <c r="I443" s="5">
        <v>75.87</v>
      </c>
      <c r="J443" s="7">
        <v>0.15</v>
      </c>
    </row>
    <row r="444" spans="1:10" x14ac:dyDescent="0.35">
      <c r="A444" s="2" t="s">
        <v>452</v>
      </c>
      <c r="B444" s="3">
        <v>45880</v>
      </c>
      <c r="C444" s="2" t="s">
        <v>510</v>
      </c>
      <c r="D444" s="2" t="s">
        <v>518</v>
      </c>
      <c r="E444" s="2" t="s">
        <v>524</v>
      </c>
      <c r="F444" s="2" t="s">
        <v>650</v>
      </c>
      <c r="G444" s="2">
        <v>384</v>
      </c>
      <c r="H444" s="2">
        <v>6</v>
      </c>
      <c r="I444" s="5">
        <v>127</v>
      </c>
      <c r="J444" s="7">
        <v>0</v>
      </c>
    </row>
    <row r="445" spans="1:10" x14ac:dyDescent="0.35">
      <c r="A445" s="2" t="s">
        <v>453</v>
      </c>
      <c r="B445" s="3">
        <v>45675</v>
      </c>
      <c r="C445" s="2" t="s">
        <v>510</v>
      </c>
      <c r="D445" s="2" t="s">
        <v>515</v>
      </c>
      <c r="E445" s="2" t="s">
        <v>533</v>
      </c>
      <c r="F445" s="2" t="s">
        <v>561</v>
      </c>
      <c r="G445" s="2">
        <v>92</v>
      </c>
      <c r="H445" s="2">
        <v>5</v>
      </c>
      <c r="I445" s="5">
        <v>32.78</v>
      </c>
      <c r="J445" s="7">
        <v>0.2</v>
      </c>
    </row>
    <row r="446" spans="1:10" x14ac:dyDescent="0.35">
      <c r="A446" s="2" t="s">
        <v>454</v>
      </c>
      <c r="B446" s="3">
        <v>45875</v>
      </c>
      <c r="C446" s="2" t="s">
        <v>510</v>
      </c>
      <c r="D446" s="2" t="s">
        <v>515</v>
      </c>
      <c r="E446" s="2" t="s">
        <v>533</v>
      </c>
      <c r="F446" s="2" t="s">
        <v>556</v>
      </c>
      <c r="G446" s="2">
        <v>189</v>
      </c>
      <c r="H446" s="2">
        <v>7</v>
      </c>
      <c r="I446" s="5">
        <v>37.06</v>
      </c>
      <c r="J446" s="7">
        <v>0</v>
      </c>
    </row>
    <row r="447" spans="1:10" x14ac:dyDescent="0.35">
      <c r="A447" s="2" t="s">
        <v>455</v>
      </c>
      <c r="B447" s="3">
        <v>45884</v>
      </c>
      <c r="C447" s="2" t="s">
        <v>511</v>
      </c>
      <c r="D447" s="2" t="s">
        <v>516</v>
      </c>
      <c r="E447" s="2" t="s">
        <v>521</v>
      </c>
      <c r="F447" s="2" t="s">
        <v>597</v>
      </c>
      <c r="G447" s="2">
        <v>447.1</v>
      </c>
      <c r="H447" s="2">
        <v>1</v>
      </c>
      <c r="I447" s="5">
        <v>157.57</v>
      </c>
      <c r="J447" s="7">
        <v>0.15</v>
      </c>
    </row>
    <row r="448" spans="1:10" x14ac:dyDescent="0.35">
      <c r="A448" s="2" t="s">
        <v>456</v>
      </c>
      <c r="B448" s="3">
        <v>45886</v>
      </c>
      <c r="C448" s="2" t="s">
        <v>513</v>
      </c>
      <c r="D448" s="2" t="s">
        <v>518</v>
      </c>
      <c r="E448" s="2" t="s">
        <v>527</v>
      </c>
      <c r="F448" s="2" t="s">
        <v>676</v>
      </c>
      <c r="G448" s="2">
        <v>369.6</v>
      </c>
      <c r="H448" s="2">
        <v>7</v>
      </c>
      <c r="I448" s="5">
        <v>77.52</v>
      </c>
      <c r="J448" s="7">
        <v>0.2</v>
      </c>
    </row>
    <row r="449" spans="1:10" x14ac:dyDescent="0.35">
      <c r="A449" s="2" t="s">
        <v>457</v>
      </c>
      <c r="B449" s="3">
        <v>45938</v>
      </c>
      <c r="C449" s="2" t="s">
        <v>512</v>
      </c>
      <c r="D449" s="2" t="s">
        <v>516</v>
      </c>
      <c r="E449" s="2" t="s">
        <v>521</v>
      </c>
      <c r="F449" s="2" t="s">
        <v>606</v>
      </c>
      <c r="G449" s="2">
        <v>593.29999999999995</v>
      </c>
      <c r="H449" s="2">
        <v>2</v>
      </c>
      <c r="I449" s="5">
        <v>178.45</v>
      </c>
      <c r="J449" s="7">
        <v>0.15</v>
      </c>
    </row>
    <row r="450" spans="1:10" x14ac:dyDescent="0.35">
      <c r="A450" s="2" t="s">
        <v>458</v>
      </c>
      <c r="B450" s="3">
        <v>45904</v>
      </c>
      <c r="C450" s="2" t="s">
        <v>511</v>
      </c>
      <c r="D450" s="2" t="s">
        <v>518</v>
      </c>
      <c r="E450" s="2" t="s">
        <v>531</v>
      </c>
      <c r="F450" s="2" t="s">
        <v>603</v>
      </c>
      <c r="G450" s="2">
        <v>403.2</v>
      </c>
      <c r="H450" s="2">
        <v>6</v>
      </c>
      <c r="I450" s="5">
        <v>118.67</v>
      </c>
      <c r="J450" s="7">
        <v>0.2</v>
      </c>
    </row>
    <row r="451" spans="1:10" x14ac:dyDescent="0.35">
      <c r="A451" s="2" t="s">
        <v>459</v>
      </c>
      <c r="B451" s="3">
        <v>45972</v>
      </c>
      <c r="C451" s="2" t="s">
        <v>510</v>
      </c>
      <c r="D451" s="2" t="s">
        <v>516</v>
      </c>
      <c r="E451" s="2" t="s">
        <v>535</v>
      </c>
      <c r="F451" s="2" t="s">
        <v>573</v>
      </c>
      <c r="G451" s="2">
        <v>3364.2</v>
      </c>
      <c r="H451" s="2">
        <v>6</v>
      </c>
      <c r="I451" s="5">
        <v>1207.3499999999999</v>
      </c>
      <c r="J451" s="7">
        <v>0.1</v>
      </c>
    </row>
    <row r="452" spans="1:10" x14ac:dyDescent="0.35">
      <c r="A452" s="2" t="s">
        <v>460</v>
      </c>
      <c r="B452" s="3">
        <v>45670</v>
      </c>
      <c r="C452" s="2" t="s">
        <v>512</v>
      </c>
      <c r="D452" s="2" t="s">
        <v>515</v>
      </c>
      <c r="E452" s="2" t="s">
        <v>528</v>
      </c>
      <c r="F452" s="2" t="s">
        <v>565</v>
      </c>
      <c r="G452" s="2">
        <v>676.8</v>
      </c>
      <c r="H452" s="2">
        <v>6</v>
      </c>
      <c r="I452" s="5">
        <v>144.84</v>
      </c>
      <c r="J452" s="7">
        <v>0.2</v>
      </c>
    </row>
    <row r="453" spans="1:10" x14ac:dyDescent="0.35">
      <c r="A453" s="2" t="s">
        <v>461</v>
      </c>
      <c r="B453" s="3">
        <v>45930</v>
      </c>
      <c r="C453" s="2" t="s">
        <v>511</v>
      </c>
      <c r="D453" s="2" t="s">
        <v>517</v>
      </c>
      <c r="E453" s="2" t="s">
        <v>522</v>
      </c>
      <c r="F453" s="2" t="s">
        <v>674</v>
      </c>
      <c r="G453" s="2">
        <v>207.4</v>
      </c>
      <c r="H453" s="2">
        <v>1</v>
      </c>
      <c r="I453" s="5">
        <v>67.66</v>
      </c>
      <c r="J453" s="7">
        <v>0.15</v>
      </c>
    </row>
    <row r="454" spans="1:10" x14ac:dyDescent="0.35">
      <c r="A454" s="2" t="s">
        <v>462</v>
      </c>
      <c r="B454" s="3">
        <v>45844</v>
      </c>
      <c r="C454" s="2" t="s">
        <v>512</v>
      </c>
      <c r="D454" s="2" t="s">
        <v>518</v>
      </c>
      <c r="E454" s="2" t="s">
        <v>532</v>
      </c>
      <c r="F454" s="2" t="s">
        <v>656</v>
      </c>
      <c r="G454" s="2">
        <v>32.4</v>
      </c>
      <c r="H454" s="2">
        <v>3</v>
      </c>
      <c r="I454" s="5">
        <v>12.5</v>
      </c>
      <c r="J454" s="7">
        <v>0.1</v>
      </c>
    </row>
    <row r="455" spans="1:10" x14ac:dyDescent="0.35">
      <c r="A455" s="2" t="s">
        <v>463</v>
      </c>
      <c r="B455" s="3">
        <v>45751</v>
      </c>
      <c r="C455" s="2" t="s">
        <v>513</v>
      </c>
      <c r="D455" s="2" t="s">
        <v>515</v>
      </c>
      <c r="E455" s="2" t="s">
        <v>533</v>
      </c>
      <c r="F455" s="2" t="s">
        <v>570</v>
      </c>
      <c r="G455" s="2">
        <v>250.8</v>
      </c>
      <c r="H455" s="2">
        <v>6</v>
      </c>
      <c r="I455" s="5">
        <v>85.92</v>
      </c>
      <c r="J455" s="7">
        <v>0.05</v>
      </c>
    </row>
    <row r="456" spans="1:10" x14ac:dyDescent="0.35">
      <c r="A456" s="2" t="s">
        <v>464</v>
      </c>
      <c r="B456" s="3">
        <v>45858</v>
      </c>
      <c r="C456" s="2" t="s">
        <v>511</v>
      </c>
      <c r="D456" s="2" t="s">
        <v>515</v>
      </c>
      <c r="E456" s="2" t="s">
        <v>528</v>
      </c>
      <c r="F456" s="2" t="s">
        <v>619</v>
      </c>
      <c r="G456" s="2">
        <v>372.6</v>
      </c>
      <c r="H456" s="2">
        <v>6</v>
      </c>
      <c r="I456" s="5">
        <v>105.79</v>
      </c>
      <c r="J456" s="7">
        <v>0.1</v>
      </c>
    </row>
    <row r="457" spans="1:10" x14ac:dyDescent="0.35">
      <c r="A457" s="2" t="s">
        <v>465</v>
      </c>
      <c r="B457" s="3">
        <v>45839</v>
      </c>
      <c r="C457" s="2" t="s">
        <v>510</v>
      </c>
      <c r="D457" s="2" t="s">
        <v>515</v>
      </c>
      <c r="E457" s="2" t="s">
        <v>528</v>
      </c>
      <c r="F457" s="2" t="s">
        <v>677</v>
      </c>
      <c r="G457" s="2">
        <v>1204</v>
      </c>
      <c r="H457" s="2">
        <v>7</v>
      </c>
      <c r="I457" s="5">
        <v>399.36</v>
      </c>
      <c r="J457" s="7">
        <v>0</v>
      </c>
    </row>
    <row r="458" spans="1:10" x14ac:dyDescent="0.35">
      <c r="A458" s="2" t="s">
        <v>466</v>
      </c>
      <c r="B458" s="3">
        <v>45729</v>
      </c>
      <c r="C458" s="2" t="s">
        <v>510</v>
      </c>
      <c r="D458" s="2" t="s">
        <v>518</v>
      </c>
      <c r="E458" s="2" t="s">
        <v>527</v>
      </c>
      <c r="F458" s="2" t="s">
        <v>587</v>
      </c>
      <c r="G458" s="2">
        <v>91.8</v>
      </c>
      <c r="H458" s="2">
        <v>3</v>
      </c>
      <c r="I458" s="5">
        <v>23.35</v>
      </c>
      <c r="J458" s="7">
        <v>0.15</v>
      </c>
    </row>
    <row r="459" spans="1:10" x14ac:dyDescent="0.35">
      <c r="A459" s="2" t="s">
        <v>467</v>
      </c>
      <c r="B459" s="3">
        <v>45878</v>
      </c>
      <c r="C459" s="2" t="s">
        <v>512</v>
      </c>
      <c r="D459" s="2" t="s">
        <v>516</v>
      </c>
      <c r="E459" s="2" t="s">
        <v>523</v>
      </c>
      <c r="F459" s="2" t="s">
        <v>616</v>
      </c>
      <c r="G459" s="2">
        <v>1562</v>
      </c>
      <c r="H459" s="2">
        <v>2</v>
      </c>
      <c r="I459" s="5">
        <v>614.01</v>
      </c>
      <c r="J459" s="7">
        <v>0</v>
      </c>
    </row>
    <row r="460" spans="1:10" x14ac:dyDescent="0.35">
      <c r="A460" s="2" t="s">
        <v>468</v>
      </c>
      <c r="B460" s="3">
        <v>45967</v>
      </c>
      <c r="C460" s="2" t="s">
        <v>511</v>
      </c>
      <c r="D460" s="2" t="s">
        <v>518</v>
      </c>
      <c r="E460" s="2" t="s">
        <v>527</v>
      </c>
      <c r="F460" s="2" t="s">
        <v>594</v>
      </c>
      <c r="G460" s="2">
        <v>196.8</v>
      </c>
      <c r="H460" s="2">
        <v>6</v>
      </c>
      <c r="I460" s="5">
        <v>44.62</v>
      </c>
      <c r="J460" s="7">
        <v>0.2</v>
      </c>
    </row>
    <row r="461" spans="1:10" x14ac:dyDescent="0.35">
      <c r="A461" s="2" t="s">
        <v>469</v>
      </c>
      <c r="B461" s="3">
        <v>45663</v>
      </c>
      <c r="C461" s="2" t="s">
        <v>510</v>
      </c>
      <c r="D461" s="2" t="s">
        <v>515</v>
      </c>
      <c r="E461" s="2" t="s">
        <v>520</v>
      </c>
      <c r="F461" s="2" t="s">
        <v>581</v>
      </c>
      <c r="G461" s="2">
        <v>65.45</v>
      </c>
      <c r="H461" s="2">
        <v>1</v>
      </c>
      <c r="I461" s="5">
        <v>18.899999999999999</v>
      </c>
      <c r="J461" s="7">
        <v>0.15</v>
      </c>
    </row>
    <row r="462" spans="1:10" x14ac:dyDescent="0.35">
      <c r="A462" s="2" t="s">
        <v>470</v>
      </c>
      <c r="B462" s="3">
        <v>45821</v>
      </c>
      <c r="C462" s="2" t="s">
        <v>513</v>
      </c>
      <c r="D462" s="2" t="s">
        <v>517</v>
      </c>
      <c r="E462" s="2" t="s">
        <v>522</v>
      </c>
      <c r="F462" s="2" t="s">
        <v>570</v>
      </c>
      <c r="G462" s="2">
        <v>2726.5</v>
      </c>
      <c r="H462" s="2">
        <v>7</v>
      </c>
      <c r="I462" s="5">
        <v>554.87</v>
      </c>
      <c r="J462" s="7">
        <v>0.05</v>
      </c>
    </row>
    <row r="463" spans="1:10" x14ac:dyDescent="0.35">
      <c r="A463" s="2" t="s">
        <v>471</v>
      </c>
      <c r="B463" s="3">
        <v>46017</v>
      </c>
      <c r="C463" s="2" t="s">
        <v>511</v>
      </c>
      <c r="D463" s="2" t="s">
        <v>518</v>
      </c>
      <c r="E463" s="2" t="s">
        <v>532</v>
      </c>
      <c r="F463" s="2" t="s">
        <v>581</v>
      </c>
      <c r="G463" s="2">
        <v>52.7</v>
      </c>
      <c r="H463" s="2">
        <v>1</v>
      </c>
      <c r="I463" s="5">
        <v>18.88</v>
      </c>
      <c r="J463" s="7">
        <v>0.15</v>
      </c>
    </row>
    <row r="464" spans="1:10" x14ac:dyDescent="0.35">
      <c r="A464" s="2" t="s">
        <v>472</v>
      </c>
      <c r="B464" s="3">
        <v>45865</v>
      </c>
      <c r="C464" s="2" t="s">
        <v>513</v>
      </c>
      <c r="D464" s="2" t="s">
        <v>516</v>
      </c>
      <c r="E464" s="2" t="s">
        <v>535</v>
      </c>
      <c r="F464" s="2" t="s">
        <v>540</v>
      </c>
      <c r="G464" s="2">
        <v>1521.5</v>
      </c>
      <c r="H464" s="2">
        <v>2</v>
      </c>
      <c r="I464" s="5">
        <v>608.37</v>
      </c>
      <c r="J464" s="7">
        <v>0.15</v>
      </c>
    </row>
    <row r="465" spans="1:10" x14ac:dyDescent="0.35">
      <c r="A465" s="2" t="s">
        <v>473</v>
      </c>
      <c r="B465" s="3">
        <v>45799</v>
      </c>
      <c r="C465" s="2" t="s">
        <v>512</v>
      </c>
      <c r="D465" s="2" t="s">
        <v>517</v>
      </c>
      <c r="E465" s="2" t="s">
        <v>530</v>
      </c>
      <c r="F465" s="2" t="s">
        <v>608</v>
      </c>
      <c r="G465" s="2">
        <v>1035.3</v>
      </c>
      <c r="H465" s="2">
        <v>3</v>
      </c>
      <c r="I465" s="5">
        <v>389.59</v>
      </c>
      <c r="J465" s="7">
        <v>0.15</v>
      </c>
    </row>
    <row r="466" spans="1:10" x14ac:dyDescent="0.35">
      <c r="A466" s="2" t="s">
        <v>474</v>
      </c>
      <c r="B466" s="3">
        <v>46017</v>
      </c>
      <c r="C466" s="2" t="s">
        <v>513</v>
      </c>
      <c r="D466" s="2" t="s">
        <v>515</v>
      </c>
      <c r="E466" s="2" t="s">
        <v>533</v>
      </c>
      <c r="F466" s="2" t="s">
        <v>564</v>
      </c>
      <c r="G466" s="2">
        <v>376.2</v>
      </c>
      <c r="H466" s="2">
        <v>3</v>
      </c>
      <c r="I466" s="5">
        <v>103.52</v>
      </c>
      <c r="J466" s="7">
        <v>0.05</v>
      </c>
    </row>
    <row r="467" spans="1:10" x14ac:dyDescent="0.35">
      <c r="A467" s="2" t="s">
        <v>475</v>
      </c>
      <c r="B467" s="3">
        <v>45701</v>
      </c>
      <c r="C467" s="2" t="s">
        <v>513</v>
      </c>
      <c r="D467" s="2" t="s">
        <v>518</v>
      </c>
      <c r="E467" s="2" t="s">
        <v>531</v>
      </c>
      <c r="F467" s="2" t="s">
        <v>590</v>
      </c>
      <c r="G467" s="2">
        <v>99.45</v>
      </c>
      <c r="H467" s="2">
        <v>3</v>
      </c>
      <c r="I467" s="5">
        <v>21.53</v>
      </c>
      <c r="J467" s="7">
        <v>0.15</v>
      </c>
    </row>
    <row r="468" spans="1:10" x14ac:dyDescent="0.35">
      <c r="A468" s="2" t="s">
        <v>476</v>
      </c>
      <c r="B468" s="3">
        <v>45723</v>
      </c>
      <c r="C468" s="2" t="s">
        <v>513</v>
      </c>
      <c r="D468" s="2" t="s">
        <v>517</v>
      </c>
      <c r="E468" s="2" t="s">
        <v>530</v>
      </c>
      <c r="F468" s="2" t="s">
        <v>629</v>
      </c>
      <c r="G468" s="2">
        <v>684</v>
      </c>
      <c r="H468" s="2">
        <v>4</v>
      </c>
      <c r="I468" s="5">
        <v>226.53</v>
      </c>
      <c r="J468" s="7">
        <v>0</v>
      </c>
    </row>
    <row r="469" spans="1:10" x14ac:dyDescent="0.35">
      <c r="A469" s="2" t="s">
        <v>477</v>
      </c>
      <c r="B469" s="3">
        <v>45907</v>
      </c>
      <c r="C469" s="2" t="s">
        <v>513</v>
      </c>
      <c r="D469" s="2" t="s">
        <v>517</v>
      </c>
      <c r="E469" s="2" t="s">
        <v>529</v>
      </c>
      <c r="F469" s="2" t="s">
        <v>648</v>
      </c>
      <c r="G469" s="2">
        <v>124</v>
      </c>
      <c r="H469" s="2">
        <v>1</v>
      </c>
      <c r="I469" s="5">
        <v>39.299999999999997</v>
      </c>
      <c r="J469" s="7">
        <v>0.2</v>
      </c>
    </row>
    <row r="470" spans="1:10" x14ac:dyDescent="0.35">
      <c r="A470" s="2" t="s">
        <v>478</v>
      </c>
      <c r="B470" s="3">
        <v>45806</v>
      </c>
      <c r="C470" s="2" t="s">
        <v>511</v>
      </c>
      <c r="D470" s="2" t="s">
        <v>516</v>
      </c>
      <c r="E470" s="2" t="s">
        <v>525</v>
      </c>
      <c r="F470" s="2" t="s">
        <v>559</v>
      </c>
      <c r="G470" s="2">
        <v>126.65</v>
      </c>
      <c r="H470" s="2">
        <v>1</v>
      </c>
      <c r="I470" s="5">
        <v>37.11</v>
      </c>
      <c r="J470" s="7">
        <v>0.15</v>
      </c>
    </row>
    <row r="471" spans="1:10" x14ac:dyDescent="0.35">
      <c r="A471" s="2" t="s">
        <v>479</v>
      </c>
      <c r="B471" s="3">
        <v>45860</v>
      </c>
      <c r="C471" s="2" t="s">
        <v>512</v>
      </c>
      <c r="D471" s="2" t="s">
        <v>515</v>
      </c>
      <c r="E471" s="2" t="s">
        <v>520</v>
      </c>
      <c r="F471" s="2" t="s">
        <v>584</v>
      </c>
      <c r="G471" s="2">
        <v>387.6</v>
      </c>
      <c r="H471" s="2">
        <v>3</v>
      </c>
      <c r="I471" s="5">
        <v>173.29</v>
      </c>
      <c r="J471" s="7">
        <v>0.15</v>
      </c>
    </row>
    <row r="472" spans="1:10" x14ac:dyDescent="0.35">
      <c r="A472" s="2" t="s">
        <v>480</v>
      </c>
      <c r="B472" s="3">
        <v>45854</v>
      </c>
      <c r="C472" s="2" t="s">
        <v>512</v>
      </c>
      <c r="D472" s="2" t="s">
        <v>517</v>
      </c>
      <c r="E472" s="2" t="s">
        <v>529</v>
      </c>
      <c r="F472" s="2" t="s">
        <v>626</v>
      </c>
      <c r="G472" s="2">
        <v>304</v>
      </c>
      <c r="H472" s="2">
        <v>5</v>
      </c>
      <c r="I472" s="5">
        <v>88.78</v>
      </c>
      <c r="J472" s="7">
        <v>0.2</v>
      </c>
    </row>
    <row r="473" spans="1:10" x14ac:dyDescent="0.35">
      <c r="A473" s="2" t="s">
        <v>481</v>
      </c>
      <c r="B473" s="3">
        <v>45989</v>
      </c>
      <c r="C473" s="2" t="s">
        <v>510</v>
      </c>
      <c r="D473" s="2" t="s">
        <v>518</v>
      </c>
      <c r="E473" s="2" t="s">
        <v>532</v>
      </c>
      <c r="F473" s="2" t="s">
        <v>557</v>
      </c>
      <c r="G473" s="2">
        <v>30.6</v>
      </c>
      <c r="H473" s="2">
        <v>1</v>
      </c>
      <c r="I473" s="5">
        <v>9.3699999999999992</v>
      </c>
      <c r="J473" s="7">
        <v>0.1</v>
      </c>
    </row>
    <row r="474" spans="1:10" x14ac:dyDescent="0.35">
      <c r="A474" s="2" t="s">
        <v>482</v>
      </c>
      <c r="B474" s="3">
        <v>45843</v>
      </c>
      <c r="C474" s="2" t="s">
        <v>512</v>
      </c>
      <c r="D474" s="2" t="s">
        <v>516</v>
      </c>
      <c r="E474" s="2" t="s">
        <v>523</v>
      </c>
      <c r="F474" s="2" t="s">
        <v>641</v>
      </c>
      <c r="G474" s="2">
        <v>3668</v>
      </c>
      <c r="H474" s="2">
        <v>7</v>
      </c>
      <c r="I474" s="5">
        <v>1619.13</v>
      </c>
      <c r="J474" s="7">
        <v>0</v>
      </c>
    </row>
    <row r="475" spans="1:10" x14ac:dyDescent="0.35">
      <c r="A475" s="2" t="s">
        <v>483</v>
      </c>
      <c r="B475" s="3">
        <v>45839</v>
      </c>
      <c r="C475" s="2" t="s">
        <v>513</v>
      </c>
      <c r="D475" s="2" t="s">
        <v>518</v>
      </c>
      <c r="E475" s="2" t="s">
        <v>531</v>
      </c>
      <c r="F475" s="2" t="s">
        <v>639</v>
      </c>
      <c r="G475" s="2">
        <v>20</v>
      </c>
      <c r="H475" s="2">
        <v>4</v>
      </c>
      <c r="I475" s="5">
        <v>8.26</v>
      </c>
      <c r="J475" s="7">
        <v>0</v>
      </c>
    </row>
    <row r="476" spans="1:10" x14ac:dyDescent="0.35">
      <c r="A476" s="2" t="s">
        <v>484</v>
      </c>
      <c r="B476" s="3">
        <v>45747</v>
      </c>
      <c r="C476" s="2" t="s">
        <v>512</v>
      </c>
      <c r="D476" s="2" t="s">
        <v>515</v>
      </c>
      <c r="E476" s="2" t="s">
        <v>528</v>
      </c>
      <c r="F476" s="2" t="s">
        <v>561</v>
      </c>
      <c r="G476" s="2">
        <v>132</v>
      </c>
      <c r="H476" s="2">
        <v>6</v>
      </c>
      <c r="I476" s="5">
        <v>47.7</v>
      </c>
      <c r="J476" s="7">
        <v>0</v>
      </c>
    </row>
    <row r="477" spans="1:10" x14ac:dyDescent="0.35">
      <c r="A477" s="2" t="s">
        <v>485</v>
      </c>
      <c r="B477" s="3">
        <v>45940</v>
      </c>
      <c r="C477" s="2" t="s">
        <v>512</v>
      </c>
      <c r="D477" s="2" t="s">
        <v>517</v>
      </c>
      <c r="E477" s="2" t="s">
        <v>529</v>
      </c>
      <c r="F477" s="2" t="s">
        <v>569</v>
      </c>
      <c r="G477" s="2">
        <v>1444.8</v>
      </c>
      <c r="H477" s="2">
        <v>6</v>
      </c>
      <c r="I477" s="5">
        <v>425.28</v>
      </c>
      <c r="J477" s="7">
        <v>0.2</v>
      </c>
    </row>
    <row r="478" spans="1:10" x14ac:dyDescent="0.35">
      <c r="A478" s="2" t="s">
        <v>486</v>
      </c>
      <c r="B478" s="3">
        <v>45662</v>
      </c>
      <c r="C478" s="2" t="s">
        <v>513</v>
      </c>
      <c r="D478" s="2" t="s">
        <v>517</v>
      </c>
      <c r="E478" s="2" t="s">
        <v>529</v>
      </c>
      <c r="F478" s="2" t="s">
        <v>601</v>
      </c>
      <c r="G478" s="2">
        <v>1960.8</v>
      </c>
      <c r="H478" s="2">
        <v>6</v>
      </c>
      <c r="I478" s="5">
        <v>865.07</v>
      </c>
      <c r="J478" s="7">
        <v>0.05</v>
      </c>
    </row>
    <row r="479" spans="1:10" x14ac:dyDescent="0.35">
      <c r="A479" s="2" t="s">
        <v>487</v>
      </c>
      <c r="B479" s="3">
        <v>45670</v>
      </c>
      <c r="C479" s="2" t="s">
        <v>510</v>
      </c>
      <c r="D479" s="2" t="s">
        <v>517</v>
      </c>
      <c r="E479" s="2" t="s">
        <v>522</v>
      </c>
      <c r="F479" s="2" t="s">
        <v>657</v>
      </c>
      <c r="G479" s="2">
        <v>843</v>
      </c>
      <c r="H479" s="2">
        <v>3</v>
      </c>
      <c r="I479" s="5">
        <v>168.1</v>
      </c>
      <c r="J479" s="7">
        <v>0</v>
      </c>
    </row>
    <row r="480" spans="1:10" x14ac:dyDescent="0.35">
      <c r="A480" s="2" t="s">
        <v>488</v>
      </c>
      <c r="B480" s="3">
        <v>45757</v>
      </c>
      <c r="C480" s="2" t="s">
        <v>510</v>
      </c>
      <c r="D480" s="2" t="s">
        <v>518</v>
      </c>
      <c r="E480" s="2" t="s">
        <v>527</v>
      </c>
      <c r="F480" s="2" t="s">
        <v>617</v>
      </c>
      <c r="G480" s="2">
        <v>535.5</v>
      </c>
      <c r="H480" s="2">
        <v>7</v>
      </c>
      <c r="I480" s="5">
        <v>189.7</v>
      </c>
      <c r="J480" s="7">
        <v>0.1</v>
      </c>
    </row>
    <row r="481" spans="1:10" x14ac:dyDescent="0.35">
      <c r="A481" s="2" t="s">
        <v>489</v>
      </c>
      <c r="B481" s="3">
        <v>45821</v>
      </c>
      <c r="C481" s="2" t="s">
        <v>512</v>
      </c>
      <c r="D481" s="2" t="s">
        <v>518</v>
      </c>
      <c r="E481" s="2" t="s">
        <v>524</v>
      </c>
      <c r="F481" s="2" t="s">
        <v>674</v>
      </c>
      <c r="G481" s="2">
        <v>270</v>
      </c>
      <c r="H481" s="2">
        <v>5</v>
      </c>
      <c r="I481" s="5">
        <v>89.12</v>
      </c>
      <c r="J481" s="7">
        <v>0</v>
      </c>
    </row>
    <row r="482" spans="1:10" x14ac:dyDescent="0.35">
      <c r="A482" s="2" t="s">
        <v>490</v>
      </c>
      <c r="B482" s="3">
        <v>45847</v>
      </c>
      <c r="C482" s="2" t="s">
        <v>511</v>
      </c>
      <c r="D482" s="2" t="s">
        <v>518</v>
      </c>
      <c r="E482" s="2" t="s">
        <v>532</v>
      </c>
      <c r="F482" s="2" t="s">
        <v>557</v>
      </c>
      <c r="G482" s="2">
        <v>198</v>
      </c>
      <c r="H482" s="2">
        <v>5</v>
      </c>
      <c r="I482" s="5">
        <v>87.54</v>
      </c>
      <c r="J482" s="7">
        <v>0.1</v>
      </c>
    </row>
    <row r="483" spans="1:10" x14ac:dyDescent="0.35">
      <c r="A483" s="2" t="s">
        <v>491</v>
      </c>
      <c r="B483" s="3">
        <v>45702</v>
      </c>
      <c r="C483" s="2" t="s">
        <v>513</v>
      </c>
      <c r="D483" s="2" t="s">
        <v>518</v>
      </c>
      <c r="E483" s="2" t="s">
        <v>524</v>
      </c>
      <c r="F483" s="2" t="s">
        <v>567</v>
      </c>
      <c r="G483" s="2">
        <v>54</v>
      </c>
      <c r="H483" s="2">
        <v>5</v>
      </c>
      <c r="I483" s="5">
        <v>20.48</v>
      </c>
      <c r="J483" s="7">
        <v>0.1</v>
      </c>
    </row>
    <row r="484" spans="1:10" x14ac:dyDescent="0.35">
      <c r="A484" s="2" t="s">
        <v>492</v>
      </c>
      <c r="B484" s="3">
        <v>45887</v>
      </c>
      <c r="C484" s="2" t="s">
        <v>513</v>
      </c>
      <c r="D484" s="2" t="s">
        <v>515</v>
      </c>
      <c r="E484" s="2" t="s">
        <v>520</v>
      </c>
      <c r="F484" s="2" t="s">
        <v>609</v>
      </c>
      <c r="G484" s="2">
        <v>500.4</v>
      </c>
      <c r="H484" s="2">
        <v>4</v>
      </c>
      <c r="I484" s="5">
        <v>212.83</v>
      </c>
      <c r="J484" s="7">
        <v>0.1</v>
      </c>
    </row>
    <row r="485" spans="1:10" x14ac:dyDescent="0.35">
      <c r="A485" s="2" t="s">
        <v>493</v>
      </c>
      <c r="B485" s="3">
        <v>46007</v>
      </c>
      <c r="C485" s="2" t="s">
        <v>513</v>
      </c>
      <c r="D485" s="2" t="s">
        <v>516</v>
      </c>
      <c r="E485" s="2" t="s">
        <v>525</v>
      </c>
      <c r="F485" s="2" t="s">
        <v>617</v>
      </c>
      <c r="G485" s="2">
        <v>2008</v>
      </c>
      <c r="H485" s="2">
        <v>5</v>
      </c>
      <c r="I485" s="5">
        <v>546.83000000000004</v>
      </c>
      <c r="J485" s="7">
        <v>0.2</v>
      </c>
    </row>
    <row r="486" spans="1:10" x14ac:dyDescent="0.35">
      <c r="A486" s="2" t="s">
        <v>494</v>
      </c>
      <c r="B486" s="3">
        <v>45753</v>
      </c>
      <c r="C486" s="2" t="s">
        <v>512</v>
      </c>
      <c r="D486" s="2" t="s">
        <v>516</v>
      </c>
      <c r="E486" s="2" t="s">
        <v>535</v>
      </c>
      <c r="F486" s="2" t="s">
        <v>625</v>
      </c>
      <c r="G486" s="2">
        <v>315.39999999999998</v>
      </c>
      <c r="H486" s="2">
        <v>4</v>
      </c>
      <c r="I486" s="5">
        <v>70.040000000000006</v>
      </c>
      <c r="J486" s="7">
        <v>0.05</v>
      </c>
    </row>
    <row r="487" spans="1:10" x14ac:dyDescent="0.35">
      <c r="A487" s="2" t="s">
        <v>495</v>
      </c>
      <c r="B487" s="3">
        <v>45994</v>
      </c>
      <c r="C487" s="2" t="s">
        <v>512</v>
      </c>
      <c r="D487" s="2" t="s">
        <v>518</v>
      </c>
      <c r="E487" s="2" t="s">
        <v>524</v>
      </c>
      <c r="F487" s="2" t="s">
        <v>678</v>
      </c>
      <c r="G487" s="2">
        <v>40.5</v>
      </c>
      <c r="H487" s="2">
        <v>3</v>
      </c>
      <c r="I487" s="5">
        <v>7.53</v>
      </c>
      <c r="J487" s="7">
        <v>0.1</v>
      </c>
    </row>
    <row r="488" spans="1:10" x14ac:dyDescent="0.35">
      <c r="A488" s="2" t="s">
        <v>496</v>
      </c>
      <c r="B488" s="3">
        <v>45660</v>
      </c>
      <c r="C488" s="2" t="s">
        <v>512</v>
      </c>
      <c r="D488" s="2" t="s">
        <v>518</v>
      </c>
      <c r="E488" s="2" t="s">
        <v>532</v>
      </c>
      <c r="F488" s="2" t="s">
        <v>569</v>
      </c>
      <c r="G488" s="2">
        <v>72</v>
      </c>
      <c r="H488" s="2">
        <v>6</v>
      </c>
      <c r="I488" s="5">
        <v>13.15</v>
      </c>
      <c r="J488" s="7">
        <v>0.2</v>
      </c>
    </row>
    <row r="489" spans="1:10" x14ac:dyDescent="0.35">
      <c r="A489" s="2" t="s">
        <v>497</v>
      </c>
      <c r="B489" s="3">
        <v>45832</v>
      </c>
      <c r="C489" s="2" t="s">
        <v>512</v>
      </c>
      <c r="D489" s="2" t="s">
        <v>518</v>
      </c>
      <c r="E489" s="2" t="s">
        <v>527</v>
      </c>
      <c r="F489" s="2" t="s">
        <v>622</v>
      </c>
      <c r="G489" s="2">
        <v>438.9</v>
      </c>
      <c r="H489" s="2">
        <v>6</v>
      </c>
      <c r="I489" s="5">
        <v>123.71</v>
      </c>
      <c r="J489" s="7">
        <v>0.05</v>
      </c>
    </row>
    <row r="490" spans="1:10" x14ac:dyDescent="0.35">
      <c r="A490" s="2" t="s">
        <v>498</v>
      </c>
      <c r="B490" s="3">
        <v>45971</v>
      </c>
      <c r="C490" s="2" t="s">
        <v>513</v>
      </c>
      <c r="D490" s="2" t="s">
        <v>518</v>
      </c>
      <c r="E490" s="2" t="s">
        <v>524</v>
      </c>
      <c r="F490" s="2" t="s">
        <v>637</v>
      </c>
      <c r="G490" s="2">
        <v>192.85</v>
      </c>
      <c r="H490" s="2">
        <v>7</v>
      </c>
      <c r="I490" s="5">
        <v>40.03</v>
      </c>
      <c r="J490" s="7">
        <v>0.05</v>
      </c>
    </row>
    <row r="491" spans="1:10" x14ac:dyDescent="0.35">
      <c r="A491" s="2" t="s">
        <v>499</v>
      </c>
      <c r="B491" s="3">
        <v>45668</v>
      </c>
      <c r="C491" s="2" t="s">
        <v>512</v>
      </c>
      <c r="D491" s="2" t="s">
        <v>515</v>
      </c>
      <c r="E491" s="2" t="s">
        <v>528</v>
      </c>
      <c r="F491" s="2" t="s">
        <v>639</v>
      </c>
      <c r="G491" s="2">
        <v>123.5</v>
      </c>
      <c r="H491" s="2">
        <v>1</v>
      </c>
      <c r="I491" s="5">
        <v>53.01</v>
      </c>
      <c r="J491" s="7">
        <v>0.05</v>
      </c>
    </row>
    <row r="492" spans="1:10" x14ac:dyDescent="0.35">
      <c r="A492" s="2" t="s">
        <v>500</v>
      </c>
      <c r="B492" s="3">
        <v>45955</v>
      </c>
      <c r="C492" s="2" t="s">
        <v>513</v>
      </c>
      <c r="D492" s="2" t="s">
        <v>517</v>
      </c>
      <c r="E492" s="2" t="s">
        <v>529</v>
      </c>
      <c r="F492" s="2" t="s">
        <v>560</v>
      </c>
      <c r="G492" s="2">
        <v>1649.2</v>
      </c>
      <c r="H492" s="2">
        <v>7</v>
      </c>
      <c r="I492" s="5">
        <v>329.6</v>
      </c>
      <c r="J492" s="7">
        <v>0.05</v>
      </c>
    </row>
    <row r="493" spans="1:10" x14ac:dyDescent="0.35">
      <c r="A493" s="2" t="s">
        <v>501</v>
      </c>
      <c r="B493" s="3">
        <v>45896</v>
      </c>
      <c r="C493" s="2" t="s">
        <v>511</v>
      </c>
      <c r="D493" s="2" t="s">
        <v>515</v>
      </c>
      <c r="E493" s="2" t="s">
        <v>526</v>
      </c>
      <c r="F493" s="2" t="s">
        <v>638</v>
      </c>
      <c r="G493" s="2">
        <v>104</v>
      </c>
      <c r="H493" s="2">
        <v>1</v>
      </c>
      <c r="I493" s="5">
        <v>24.69</v>
      </c>
      <c r="J493" s="7">
        <v>0</v>
      </c>
    </row>
    <row r="494" spans="1:10" x14ac:dyDescent="0.35">
      <c r="A494" s="2" t="s">
        <v>502</v>
      </c>
      <c r="B494" s="3">
        <v>45729</v>
      </c>
      <c r="C494" s="2" t="s">
        <v>510</v>
      </c>
      <c r="D494" s="2" t="s">
        <v>518</v>
      </c>
      <c r="E494" s="2" t="s">
        <v>524</v>
      </c>
      <c r="F494" s="2" t="s">
        <v>679</v>
      </c>
      <c r="G494" s="2">
        <v>139.5</v>
      </c>
      <c r="H494" s="2">
        <v>5</v>
      </c>
      <c r="I494" s="5">
        <v>41.45</v>
      </c>
      <c r="J494" s="7">
        <v>0.1</v>
      </c>
    </row>
    <row r="495" spans="1:10" x14ac:dyDescent="0.35">
      <c r="A495" s="2" t="s">
        <v>503</v>
      </c>
      <c r="B495" s="3">
        <v>45949</v>
      </c>
      <c r="C495" s="2" t="s">
        <v>512</v>
      </c>
      <c r="D495" s="2" t="s">
        <v>515</v>
      </c>
      <c r="E495" s="2" t="s">
        <v>533</v>
      </c>
      <c r="F495" s="2" t="s">
        <v>567</v>
      </c>
      <c r="G495" s="2">
        <v>319.2</v>
      </c>
      <c r="H495" s="2">
        <v>7</v>
      </c>
      <c r="I495" s="5">
        <v>116.27</v>
      </c>
      <c r="J495" s="7">
        <v>0.2</v>
      </c>
    </row>
    <row r="496" spans="1:10" x14ac:dyDescent="0.35">
      <c r="A496" s="2" t="s">
        <v>504</v>
      </c>
      <c r="B496" s="3">
        <v>45808</v>
      </c>
      <c r="C496" s="2" t="s">
        <v>511</v>
      </c>
      <c r="D496" s="2" t="s">
        <v>516</v>
      </c>
      <c r="E496" s="2" t="s">
        <v>535</v>
      </c>
      <c r="F496" s="2" t="s">
        <v>541</v>
      </c>
      <c r="G496" s="2">
        <v>2975</v>
      </c>
      <c r="H496" s="2">
        <v>4</v>
      </c>
      <c r="I496" s="5">
        <v>1107.95</v>
      </c>
      <c r="J496" s="7">
        <v>0.15</v>
      </c>
    </row>
    <row r="497" spans="1:10" x14ac:dyDescent="0.35">
      <c r="A497" s="2" t="s">
        <v>505</v>
      </c>
      <c r="B497" s="3">
        <v>45885</v>
      </c>
      <c r="C497" s="2" t="s">
        <v>510</v>
      </c>
      <c r="D497" s="2" t="s">
        <v>517</v>
      </c>
      <c r="E497" s="2" t="s">
        <v>534</v>
      </c>
      <c r="F497" s="2" t="s">
        <v>651</v>
      </c>
      <c r="G497" s="2">
        <v>652</v>
      </c>
      <c r="H497" s="2">
        <v>5</v>
      </c>
      <c r="I497" s="5">
        <v>234.53</v>
      </c>
      <c r="J497" s="7">
        <v>0.2</v>
      </c>
    </row>
    <row r="498" spans="1:10" x14ac:dyDescent="0.35">
      <c r="A498" s="2" t="s">
        <v>506</v>
      </c>
      <c r="B498" s="3">
        <v>45938</v>
      </c>
      <c r="C498" s="2" t="s">
        <v>513</v>
      </c>
      <c r="D498" s="2" t="s">
        <v>516</v>
      </c>
      <c r="E498" s="2" t="s">
        <v>535</v>
      </c>
      <c r="F498" s="2" t="s">
        <v>543</v>
      </c>
      <c r="G498" s="2">
        <v>607.75</v>
      </c>
      <c r="H498" s="2">
        <v>5</v>
      </c>
      <c r="I498" s="5">
        <v>183.66</v>
      </c>
      <c r="J498" s="7">
        <v>0.15</v>
      </c>
    </row>
    <row r="499" spans="1:10" x14ac:dyDescent="0.35">
      <c r="A499" s="2" t="s">
        <v>507</v>
      </c>
      <c r="B499" s="3">
        <v>45932</v>
      </c>
      <c r="C499" s="2" t="s">
        <v>510</v>
      </c>
      <c r="D499" s="2" t="s">
        <v>518</v>
      </c>
      <c r="E499" s="2" t="s">
        <v>532</v>
      </c>
      <c r="F499" s="2" t="s">
        <v>663</v>
      </c>
      <c r="G499" s="2">
        <v>372.3</v>
      </c>
      <c r="H499" s="2">
        <v>6</v>
      </c>
      <c r="I499" s="5">
        <v>108.75</v>
      </c>
      <c r="J499" s="7">
        <v>0.15</v>
      </c>
    </row>
    <row r="500" spans="1:10" x14ac:dyDescent="0.35">
      <c r="A500" s="2" t="s">
        <v>508</v>
      </c>
      <c r="B500" s="3">
        <v>45986</v>
      </c>
      <c r="C500" s="2" t="s">
        <v>510</v>
      </c>
      <c r="D500" s="2" t="s">
        <v>516</v>
      </c>
      <c r="E500" s="2" t="s">
        <v>523</v>
      </c>
      <c r="F500" s="2" t="s">
        <v>563</v>
      </c>
      <c r="G500" s="2">
        <v>1530</v>
      </c>
      <c r="H500" s="2">
        <v>6</v>
      </c>
      <c r="I500" s="5">
        <v>559.65</v>
      </c>
      <c r="J500" s="7">
        <v>0.15</v>
      </c>
    </row>
    <row r="501" spans="1:10" x14ac:dyDescent="0.35">
      <c r="A501" s="2" t="s">
        <v>509</v>
      </c>
      <c r="B501" s="3">
        <v>45662</v>
      </c>
      <c r="C501" s="2" t="s">
        <v>511</v>
      </c>
      <c r="D501" s="2" t="s">
        <v>517</v>
      </c>
      <c r="E501" s="2" t="s">
        <v>522</v>
      </c>
      <c r="F501" s="2" t="s">
        <v>613</v>
      </c>
      <c r="G501" s="2">
        <v>1271.5999999999999</v>
      </c>
      <c r="H501" s="2">
        <v>4</v>
      </c>
      <c r="I501" s="5">
        <v>535.97</v>
      </c>
      <c r="J501" s="7">
        <v>0.15</v>
      </c>
    </row>
    <row r="503" spans="1:10" x14ac:dyDescent="0.35">
      <c r="F503" t="s">
        <v>680</v>
      </c>
    </row>
  </sheetData>
  <conditionalFormatting sqref="F503">
    <cfRule type="duplicateValues" dxfId="2" priority="3"/>
  </conditionalFormatting>
  <conditionalFormatting sqref="A1:A501">
    <cfRule type="duplicateValues" dxfId="1" priority="7"/>
  </conditionalFormatting>
  <conditionalFormatting sqref="B1:J1048576"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Sales</vt:lpstr>
      <vt:lpstr>Region Wise Sales</vt:lpstr>
      <vt:lpstr>DASHBOARD</vt:lpstr>
      <vt:lpstr>TOP 3 PRODUCT</vt:lpstr>
      <vt:lpstr>Category Wise Sale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Masih</dc:creator>
  <cp:lastModifiedBy>ABHISHEK MASIH</cp:lastModifiedBy>
  <dcterms:created xsi:type="dcterms:W3CDTF">2026-08-23T19:05:59Z</dcterms:created>
  <dcterms:modified xsi:type="dcterms:W3CDTF">2026-08-28T13:12:24Z</dcterms:modified>
</cp:coreProperties>
</file>